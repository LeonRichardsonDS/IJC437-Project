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25a833de0b8c253/Documents/MSc/Intro to Data Science/"/>
    </mc:Choice>
  </mc:AlternateContent>
  <xr:revisionPtr revIDLastSave="383" documentId="8_{DEB7AD6F-90E3-4CB0-989B-635C6FEF555E}" xr6:coauthVersionLast="47" xr6:coauthVersionMax="47" xr10:uidLastSave="{DAA6E41F-507D-469B-920A-8C339400D746}"/>
  <bookViews>
    <workbookView xWindow="-120" yWindow="-120" windowWidth="29040" windowHeight="15840" activeTab="2" xr2:uid="{00000000-000D-0000-FFFF-FFFF00000000}"/>
  </bookViews>
  <sheets>
    <sheet name="Data" sheetId="1" r:id="rId1"/>
    <sheet name="Sheet1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2" l="1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C12" i="2"/>
  <c r="B12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B5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B4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3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B2" i="2"/>
  <c r="U351" i="1"/>
  <c r="T351" i="1"/>
  <c r="S351" i="1"/>
  <c r="R351" i="1"/>
  <c r="Q351" i="1"/>
  <c r="P351" i="1"/>
  <c r="O351" i="1"/>
  <c r="N351" i="1"/>
  <c r="M351" i="1"/>
  <c r="L351" i="1"/>
  <c r="K351" i="1"/>
  <c r="J351" i="1"/>
  <c r="I351" i="1"/>
  <c r="H351" i="1"/>
  <c r="G351" i="1"/>
  <c r="F351" i="1"/>
  <c r="E351" i="1"/>
  <c r="C351" i="1" s="1"/>
  <c r="D351" i="1"/>
  <c r="U326" i="1"/>
  <c r="T326" i="1"/>
  <c r="S326" i="1"/>
  <c r="R326" i="1"/>
  <c r="Q326" i="1"/>
  <c r="P326" i="1"/>
  <c r="O326" i="1"/>
  <c r="N326" i="1"/>
  <c r="M326" i="1"/>
  <c r="L326" i="1"/>
  <c r="K326" i="1"/>
  <c r="J326" i="1"/>
  <c r="I326" i="1"/>
  <c r="H326" i="1"/>
  <c r="G326" i="1"/>
  <c r="F326" i="1"/>
  <c r="E326" i="1"/>
  <c r="D326" i="1"/>
  <c r="U301" i="1"/>
  <c r="T301" i="1"/>
  <c r="S301" i="1"/>
  <c r="R301" i="1"/>
  <c r="Q301" i="1"/>
  <c r="P301" i="1"/>
  <c r="O301" i="1"/>
  <c r="N301" i="1"/>
  <c r="M301" i="1"/>
  <c r="L301" i="1"/>
  <c r="K301" i="1"/>
  <c r="J301" i="1"/>
  <c r="I301" i="1"/>
  <c r="H301" i="1"/>
  <c r="G301" i="1"/>
  <c r="F301" i="1"/>
  <c r="E301" i="1"/>
  <c r="D301" i="1"/>
  <c r="U276" i="1"/>
  <c r="T276" i="1"/>
  <c r="S276" i="1"/>
  <c r="R276" i="1"/>
  <c r="Q276" i="1"/>
  <c r="P276" i="1"/>
  <c r="O276" i="1"/>
  <c r="N276" i="1"/>
  <c r="M276" i="1"/>
  <c r="L276" i="1"/>
  <c r="K276" i="1"/>
  <c r="J276" i="1"/>
  <c r="I276" i="1"/>
  <c r="H276" i="1"/>
  <c r="G276" i="1"/>
  <c r="F276" i="1"/>
  <c r="E276" i="1"/>
  <c r="D276" i="1"/>
  <c r="U251" i="1"/>
  <c r="T251" i="1"/>
  <c r="S251" i="1"/>
  <c r="R251" i="1"/>
  <c r="Q251" i="1"/>
  <c r="P251" i="1"/>
  <c r="O251" i="1"/>
  <c r="N251" i="1"/>
  <c r="M251" i="1"/>
  <c r="L251" i="1"/>
  <c r="K251" i="1"/>
  <c r="J251" i="1"/>
  <c r="I251" i="1"/>
  <c r="H251" i="1"/>
  <c r="G251" i="1"/>
  <c r="F251" i="1"/>
  <c r="E251" i="1"/>
  <c r="D251" i="1"/>
  <c r="U226" i="1"/>
  <c r="T226" i="1"/>
  <c r="S226" i="1"/>
  <c r="R226" i="1"/>
  <c r="Q226" i="1"/>
  <c r="P226" i="1"/>
  <c r="O226" i="1"/>
  <c r="N226" i="1"/>
  <c r="M226" i="1"/>
  <c r="L226" i="1"/>
  <c r="K226" i="1"/>
  <c r="J226" i="1"/>
  <c r="I226" i="1"/>
  <c r="H226" i="1"/>
  <c r="G226" i="1"/>
  <c r="F226" i="1"/>
  <c r="E226" i="1"/>
  <c r="D226" i="1"/>
  <c r="E201" i="1"/>
  <c r="F201" i="1"/>
  <c r="G201" i="1"/>
  <c r="H201" i="1"/>
  <c r="I201" i="1"/>
  <c r="J201" i="1"/>
  <c r="K201" i="1"/>
  <c r="L201" i="1"/>
  <c r="M201" i="1"/>
  <c r="N201" i="1"/>
  <c r="O201" i="1"/>
  <c r="P201" i="1"/>
  <c r="Q201" i="1"/>
  <c r="R201" i="1"/>
  <c r="S201" i="1"/>
  <c r="T201" i="1"/>
  <c r="U201" i="1"/>
  <c r="D201" i="1"/>
  <c r="D26" i="1"/>
  <c r="F176" i="1"/>
  <c r="C151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I176" i="1"/>
  <c r="H176" i="1"/>
  <c r="G176" i="1"/>
  <c r="E176" i="1"/>
  <c r="D176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I151" i="1"/>
  <c r="H151" i="1"/>
  <c r="G151" i="1"/>
  <c r="F151" i="1"/>
  <c r="E151" i="1"/>
  <c r="D151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I126" i="1"/>
  <c r="H126" i="1"/>
  <c r="G126" i="1"/>
  <c r="F126" i="1"/>
  <c r="E126" i="1"/>
  <c r="D126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I101" i="1"/>
  <c r="H101" i="1"/>
  <c r="G101" i="1"/>
  <c r="F101" i="1"/>
  <c r="E101" i="1"/>
  <c r="D101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E26" i="1"/>
  <c r="F26" i="1"/>
  <c r="G26" i="1"/>
  <c r="H26" i="1"/>
  <c r="I26" i="1"/>
  <c r="J26" i="1"/>
  <c r="K26" i="1"/>
  <c r="L26" i="1"/>
  <c r="M26" i="1"/>
  <c r="N26" i="1"/>
  <c r="O26" i="1"/>
  <c r="P26" i="1"/>
  <c r="C26" i="1" s="1"/>
  <c r="Q26" i="1"/>
  <c r="R26" i="1"/>
  <c r="S26" i="1"/>
  <c r="T26" i="1"/>
  <c r="U26" i="1"/>
  <c r="C200" i="1" l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52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27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" i="1"/>
  <c r="C176" i="1" l="1"/>
  <c r="C126" i="1"/>
  <c r="C101" i="1"/>
  <c r="C76" i="1"/>
  <c r="C51" i="1"/>
</calcChain>
</file>

<file path=xl/sharedStrings.xml><?xml version="1.0" encoding="utf-8"?>
<sst xmlns="http://schemas.openxmlformats.org/spreadsheetml/2006/main" count="452" uniqueCount="47">
  <si>
    <t>Area</t>
  </si>
  <si>
    <t>Area Total</t>
  </si>
  <si>
    <t>Year</t>
  </si>
  <si>
    <t>Barnsley</t>
  </si>
  <si>
    <t>Calderdale</t>
  </si>
  <si>
    <t>Bradford</t>
  </si>
  <si>
    <t>Craven</t>
  </si>
  <si>
    <t>Doncaster</t>
  </si>
  <si>
    <t>Hambleton</t>
  </si>
  <si>
    <t>Harrogate</t>
  </si>
  <si>
    <t>Hull</t>
  </si>
  <si>
    <t>South Yorks Met</t>
  </si>
  <si>
    <t>West Yorks Met</t>
  </si>
  <si>
    <t>Kirklees</t>
  </si>
  <si>
    <t>Leeds</t>
  </si>
  <si>
    <t>NE Lincs</t>
  </si>
  <si>
    <t>N Lincs</t>
  </si>
  <si>
    <t>Rotherham</t>
  </si>
  <si>
    <t>Ryedale</t>
  </si>
  <si>
    <t>Scarborough</t>
  </si>
  <si>
    <t>Selby</t>
  </si>
  <si>
    <t>Sheffield</t>
  </si>
  <si>
    <t>Wakefield</t>
  </si>
  <si>
    <t>York</t>
  </si>
  <si>
    <t>Richmondshire</t>
  </si>
  <si>
    <t>Yorks and Humber</t>
  </si>
  <si>
    <t>ER Yorks</t>
  </si>
  <si>
    <t>North Yorks County</t>
  </si>
  <si>
    <t>Manufacturing</t>
  </si>
  <si>
    <t>Construction</t>
  </si>
  <si>
    <t>Wholesale</t>
  </si>
  <si>
    <t>Retail</t>
  </si>
  <si>
    <t>Mining, quarrying &amp; utilities</t>
  </si>
  <si>
    <t>Agriculture, forestry &amp; fishing</t>
  </si>
  <si>
    <t>Accommodation &amp; food services</t>
  </si>
  <si>
    <t>Information &amp; communication</t>
  </si>
  <si>
    <t>Professional, scientific &amp; technical</t>
  </si>
  <si>
    <t>Property</t>
  </si>
  <si>
    <t>Financial &amp; insurance</t>
  </si>
  <si>
    <t>Transport &amp; storage</t>
  </si>
  <si>
    <t>Motor trades</t>
  </si>
  <si>
    <t>Business administration &amp; support services</t>
  </si>
  <si>
    <t>Public administration &amp; defence</t>
  </si>
  <si>
    <t>Education</t>
  </si>
  <si>
    <t>Health</t>
  </si>
  <si>
    <t>Arts, entertainment, recreation &amp; other services</t>
  </si>
  <si>
    <t>Table 2.4: Sample of dataset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</si>
</sst>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indexed="8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3" fontId="5" fillId="0" borderId="0" xfId="0" applyNumberFormat="1" applyFont="1" applyAlignment="1">
      <alignment horizontal="right"/>
    </xf>
    <xf numFmtId="0" fontId="1" fillId="0" borderId="0" xfId="0" applyFont="1" applyAlignment="1">
      <alignment horizontal="left"/>
    </xf>
    <xf numFmtId="3" fontId="0" fillId="0" borderId="0" xfId="0" applyNumberFormat="1"/>
    <xf numFmtId="0" fontId="2" fillId="0" borderId="0" xfId="0" applyFont="1" applyAlignment="1">
      <alignment horizontal="left" vertical="center" wrapText="1"/>
    </xf>
    <xf numFmtId="3" fontId="4" fillId="0" borderId="0" xfId="0" applyNumberFormat="1" applyFont="1" applyAlignment="1">
      <alignment horizontal="left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3" fontId="7" fillId="0" borderId="0" xfId="0" applyNumberFormat="1" applyFont="1" applyAlignment="1">
      <alignment horizontal="left"/>
    </xf>
    <xf numFmtId="3" fontId="7" fillId="0" borderId="0" xfId="0" applyNumberFormat="1" applyFont="1" applyAlignment="1">
      <alignment horizontal="right"/>
    </xf>
    <xf numFmtId="10" fontId="0" fillId="0" borderId="0" xfId="0" applyNumberFormat="1"/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351"/>
  <sheetViews>
    <sheetView zoomScaleNormal="100" workbookViewId="0">
      <pane ySplit="1" topLeftCell="A2" activePane="bottomLeft" state="frozen"/>
      <selection pane="bottomLeft" sqref="A1:U25"/>
    </sheetView>
  </sheetViews>
  <sheetFormatPr defaultRowHeight="15" x14ac:dyDescent="0.25"/>
  <cols>
    <col min="1" max="1" width="5" style="9" bestFit="1" customWidth="1"/>
    <col min="2" max="2" width="18.28515625" bestFit="1" customWidth="1" collapsed="1"/>
    <col min="3" max="3" width="9.140625" bestFit="1" customWidth="1"/>
    <col min="4" max="4" width="11.5703125" bestFit="1" customWidth="1" collapsed="1"/>
    <col min="5" max="5" width="11.85546875" bestFit="1" customWidth="1" collapsed="1"/>
    <col min="6" max="6" width="12.85546875" bestFit="1" customWidth="1" collapsed="1"/>
    <col min="7" max="7" width="12.28515625" bestFit="1" customWidth="1" collapsed="1"/>
    <col min="8" max="8" width="10" customWidth="1" collapsed="1"/>
    <col min="9" max="9" width="13.42578125" bestFit="1" customWidth="1" collapsed="1"/>
    <col min="10" max="10" width="10.140625" customWidth="1" collapsed="1"/>
    <col min="11" max="11" width="14" customWidth="1" collapsed="1"/>
    <col min="12" max="12" width="13" customWidth="1" collapsed="1"/>
    <col min="13" max="13" width="14" customWidth="1" collapsed="1"/>
    <col min="14" max="14" width="10.7109375" customWidth="1" collapsed="1"/>
    <col min="15" max="15" width="9.5703125" customWidth="1" collapsed="1"/>
    <col min="16" max="17" width="14" customWidth="1" collapsed="1"/>
    <col min="18" max="18" width="14.28515625" customWidth="1" collapsed="1"/>
    <col min="19" max="21" width="14" customWidth="1" collapsed="1"/>
  </cols>
  <sheetData>
    <row r="1" spans="1:21" ht="65.099999999999994" customHeight="1" x14ac:dyDescent="0.25">
      <c r="A1" s="8" t="s">
        <v>2</v>
      </c>
      <c r="B1" s="2" t="s">
        <v>0</v>
      </c>
      <c r="C1" s="6" t="s">
        <v>1</v>
      </c>
      <c r="D1" s="1" t="s">
        <v>33</v>
      </c>
      <c r="E1" s="1" t="s">
        <v>32</v>
      </c>
      <c r="F1" s="1" t="s">
        <v>28</v>
      </c>
      <c r="G1" s="1" t="s">
        <v>29</v>
      </c>
      <c r="H1" s="1" t="s">
        <v>40</v>
      </c>
      <c r="I1" s="1" t="s">
        <v>30</v>
      </c>
      <c r="J1" s="1" t="s">
        <v>31</v>
      </c>
      <c r="K1" s="1" t="s">
        <v>39</v>
      </c>
      <c r="L1" s="1" t="s">
        <v>34</v>
      </c>
      <c r="M1" s="1" t="s">
        <v>35</v>
      </c>
      <c r="N1" s="1" t="s">
        <v>38</v>
      </c>
      <c r="O1" s="1" t="s">
        <v>37</v>
      </c>
      <c r="P1" s="1" t="s">
        <v>36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</row>
    <row r="2" spans="1:21" x14ac:dyDescent="0.25">
      <c r="A2" s="9">
        <v>2009</v>
      </c>
      <c r="B2" s="10" t="s">
        <v>27</v>
      </c>
      <c r="C2" s="7">
        <f>SUM(D2:U2)</f>
        <v>254000</v>
      </c>
      <c r="D2" s="3">
        <v>6000</v>
      </c>
      <c r="E2" s="3">
        <v>3500</v>
      </c>
      <c r="F2" s="3">
        <v>26000</v>
      </c>
      <c r="G2" s="3">
        <v>11000</v>
      </c>
      <c r="H2" s="3">
        <v>4500</v>
      </c>
      <c r="I2" s="3">
        <v>14000</v>
      </c>
      <c r="J2" s="3">
        <v>27000</v>
      </c>
      <c r="K2" s="3">
        <v>8000</v>
      </c>
      <c r="L2" s="3">
        <v>27000</v>
      </c>
      <c r="M2" s="3">
        <v>9000</v>
      </c>
      <c r="N2" s="3">
        <v>8000</v>
      </c>
      <c r="O2" s="3">
        <v>4000</v>
      </c>
      <c r="P2" s="3">
        <v>15000</v>
      </c>
      <c r="Q2" s="3">
        <v>13000</v>
      </c>
      <c r="R2" s="3">
        <v>11000</v>
      </c>
      <c r="S2" s="3">
        <v>22000</v>
      </c>
      <c r="T2" s="3">
        <v>33000</v>
      </c>
      <c r="U2" s="3">
        <v>12000</v>
      </c>
    </row>
    <row r="3" spans="1:21" x14ac:dyDescent="0.25">
      <c r="A3" s="9">
        <v>2009</v>
      </c>
      <c r="B3" s="10" t="s">
        <v>11</v>
      </c>
      <c r="C3" s="7">
        <f t="shared" ref="C3:C25" si="0">SUM(D3:U3)</f>
        <v>527500</v>
      </c>
      <c r="D3" s="3">
        <v>1000</v>
      </c>
      <c r="E3" s="3">
        <v>4500</v>
      </c>
      <c r="F3" s="3">
        <v>58000</v>
      </c>
      <c r="G3" s="3">
        <v>27000</v>
      </c>
      <c r="H3" s="3">
        <v>9000</v>
      </c>
      <c r="I3" s="3">
        <v>21000</v>
      </c>
      <c r="J3" s="3">
        <v>57000</v>
      </c>
      <c r="K3" s="3">
        <v>27000</v>
      </c>
      <c r="L3" s="3">
        <v>31000</v>
      </c>
      <c r="M3" s="3">
        <v>12000</v>
      </c>
      <c r="N3" s="3">
        <v>16000</v>
      </c>
      <c r="O3" s="3">
        <v>8000</v>
      </c>
      <c r="P3" s="3">
        <v>24000</v>
      </c>
      <c r="Q3" s="3">
        <v>38000</v>
      </c>
      <c r="R3" s="3">
        <v>31000</v>
      </c>
      <c r="S3" s="3">
        <v>58000</v>
      </c>
      <c r="T3" s="3">
        <v>85000</v>
      </c>
      <c r="U3" s="3">
        <v>20000</v>
      </c>
    </row>
    <row r="4" spans="1:21" x14ac:dyDescent="0.25">
      <c r="A4" s="9">
        <v>2009</v>
      </c>
      <c r="B4" s="10" t="s">
        <v>12</v>
      </c>
      <c r="C4" s="7">
        <f t="shared" si="0"/>
        <v>966750</v>
      </c>
      <c r="D4" s="3">
        <v>1750</v>
      </c>
      <c r="E4" s="3">
        <v>12000</v>
      </c>
      <c r="F4" s="3">
        <v>110000</v>
      </c>
      <c r="G4" s="3">
        <v>40000</v>
      </c>
      <c r="H4" s="3">
        <v>16000</v>
      </c>
      <c r="I4" s="3">
        <v>49000</v>
      </c>
      <c r="J4" s="3">
        <v>105000</v>
      </c>
      <c r="K4" s="3">
        <v>39000</v>
      </c>
      <c r="L4" s="3">
        <v>53000</v>
      </c>
      <c r="M4" s="3">
        <v>31000</v>
      </c>
      <c r="N4" s="3">
        <v>47000</v>
      </c>
      <c r="O4" s="3">
        <v>15000</v>
      </c>
      <c r="P4" s="3">
        <v>54000</v>
      </c>
      <c r="Q4" s="3">
        <v>77000</v>
      </c>
      <c r="R4" s="3">
        <v>58000</v>
      </c>
      <c r="S4" s="3">
        <v>98000</v>
      </c>
      <c r="T4" s="3">
        <v>125000</v>
      </c>
      <c r="U4" s="3">
        <v>36000</v>
      </c>
    </row>
    <row r="5" spans="1:21" x14ac:dyDescent="0.25">
      <c r="A5" s="9">
        <v>2009</v>
      </c>
      <c r="B5" s="10" t="s">
        <v>3</v>
      </c>
      <c r="C5" s="7">
        <f t="shared" si="0"/>
        <v>72125</v>
      </c>
      <c r="D5" s="3">
        <v>225</v>
      </c>
      <c r="E5" s="3">
        <v>400</v>
      </c>
      <c r="F5" s="3">
        <v>11000</v>
      </c>
      <c r="G5" s="3">
        <v>4000</v>
      </c>
      <c r="H5" s="3">
        <v>1250</v>
      </c>
      <c r="I5" s="3">
        <v>2500</v>
      </c>
      <c r="J5" s="3">
        <v>7000</v>
      </c>
      <c r="K5" s="3">
        <v>2500</v>
      </c>
      <c r="L5" s="3">
        <v>4500</v>
      </c>
      <c r="M5" s="3">
        <v>1250</v>
      </c>
      <c r="N5" s="3">
        <v>1750</v>
      </c>
      <c r="O5" s="3">
        <v>1250</v>
      </c>
      <c r="P5" s="3">
        <v>3000</v>
      </c>
      <c r="Q5" s="3">
        <v>3000</v>
      </c>
      <c r="R5" s="3">
        <v>5000</v>
      </c>
      <c r="S5" s="3">
        <v>8000</v>
      </c>
      <c r="T5" s="3">
        <v>13000</v>
      </c>
      <c r="U5" s="3">
        <v>2500</v>
      </c>
    </row>
    <row r="6" spans="1:21" x14ac:dyDescent="0.25">
      <c r="A6" s="9">
        <v>2009</v>
      </c>
      <c r="B6" s="10" t="s">
        <v>5</v>
      </c>
      <c r="C6" s="7">
        <f t="shared" si="0"/>
        <v>194550</v>
      </c>
      <c r="D6" s="3">
        <v>300</v>
      </c>
      <c r="E6" s="3">
        <v>2250</v>
      </c>
      <c r="F6" s="3">
        <v>26000</v>
      </c>
      <c r="G6" s="3">
        <v>6000</v>
      </c>
      <c r="H6" s="3">
        <v>3000</v>
      </c>
      <c r="I6" s="3">
        <v>10000</v>
      </c>
      <c r="J6" s="3">
        <v>24000</v>
      </c>
      <c r="K6" s="3">
        <v>6000</v>
      </c>
      <c r="L6" s="3">
        <v>10000</v>
      </c>
      <c r="M6" s="3">
        <v>6000</v>
      </c>
      <c r="N6" s="3">
        <v>7000</v>
      </c>
      <c r="O6" s="3">
        <v>3000</v>
      </c>
      <c r="P6" s="3">
        <v>8000</v>
      </c>
      <c r="Q6" s="3">
        <v>12000</v>
      </c>
      <c r="R6" s="3">
        <v>12000</v>
      </c>
      <c r="S6" s="3">
        <v>23000</v>
      </c>
      <c r="T6" s="3">
        <v>29000</v>
      </c>
      <c r="U6" s="3">
        <v>7000</v>
      </c>
    </row>
    <row r="7" spans="1:21" x14ac:dyDescent="0.25">
      <c r="A7" s="9">
        <v>2009</v>
      </c>
      <c r="B7" s="10" t="s">
        <v>4</v>
      </c>
      <c r="C7" s="7">
        <f t="shared" si="0"/>
        <v>82875</v>
      </c>
      <c r="D7" s="3">
        <v>175</v>
      </c>
      <c r="E7" s="3">
        <v>450</v>
      </c>
      <c r="F7" s="3">
        <v>14000</v>
      </c>
      <c r="G7" s="3">
        <v>3500</v>
      </c>
      <c r="H7" s="3">
        <v>1250</v>
      </c>
      <c r="I7" s="3">
        <v>5000</v>
      </c>
      <c r="J7" s="3">
        <v>7000</v>
      </c>
      <c r="K7" s="3">
        <v>3000</v>
      </c>
      <c r="L7" s="3">
        <v>5000</v>
      </c>
      <c r="M7" s="3">
        <v>2500</v>
      </c>
      <c r="N7" s="3">
        <v>8000</v>
      </c>
      <c r="O7" s="3">
        <v>1500</v>
      </c>
      <c r="P7" s="3">
        <v>3000</v>
      </c>
      <c r="Q7" s="3">
        <v>5000</v>
      </c>
      <c r="R7" s="3">
        <v>4000</v>
      </c>
      <c r="S7" s="3">
        <v>8000</v>
      </c>
      <c r="T7" s="3">
        <v>9000</v>
      </c>
      <c r="U7" s="3">
        <v>2500</v>
      </c>
    </row>
    <row r="8" spans="1:21" x14ac:dyDescent="0.25">
      <c r="A8" s="9">
        <v>2009</v>
      </c>
      <c r="B8" s="10" t="s">
        <v>6</v>
      </c>
      <c r="C8" s="7">
        <f t="shared" si="0"/>
        <v>29150</v>
      </c>
      <c r="D8" s="3">
        <v>600</v>
      </c>
      <c r="E8" s="3">
        <v>200</v>
      </c>
      <c r="F8" s="3">
        <v>2250</v>
      </c>
      <c r="G8" s="3">
        <v>1500</v>
      </c>
      <c r="H8" s="3">
        <v>450</v>
      </c>
      <c r="I8" s="3">
        <v>1500</v>
      </c>
      <c r="J8" s="3">
        <v>3000</v>
      </c>
      <c r="K8" s="3">
        <v>700</v>
      </c>
      <c r="L8" s="3">
        <v>3000</v>
      </c>
      <c r="M8" s="3">
        <v>350</v>
      </c>
      <c r="N8" s="3">
        <v>3500</v>
      </c>
      <c r="O8" s="3">
        <v>500</v>
      </c>
      <c r="P8" s="3">
        <v>2000</v>
      </c>
      <c r="Q8" s="3">
        <v>3000</v>
      </c>
      <c r="R8" s="3">
        <v>300</v>
      </c>
      <c r="S8" s="3">
        <v>3000</v>
      </c>
      <c r="T8" s="3">
        <v>2500</v>
      </c>
      <c r="U8" s="3">
        <v>800</v>
      </c>
    </row>
    <row r="9" spans="1:21" x14ac:dyDescent="0.25">
      <c r="A9" s="9">
        <v>2009</v>
      </c>
      <c r="B9" s="10" t="s">
        <v>7</v>
      </c>
      <c r="C9" s="7">
        <f t="shared" si="0"/>
        <v>112350</v>
      </c>
      <c r="D9" s="3">
        <v>350</v>
      </c>
      <c r="E9" s="3">
        <v>1500</v>
      </c>
      <c r="F9" s="3">
        <v>10000</v>
      </c>
      <c r="G9" s="3">
        <v>7000</v>
      </c>
      <c r="H9" s="3">
        <v>2500</v>
      </c>
      <c r="I9" s="3">
        <v>4500</v>
      </c>
      <c r="J9" s="3">
        <v>14000</v>
      </c>
      <c r="K9" s="3">
        <v>9000</v>
      </c>
      <c r="L9" s="3">
        <v>7000</v>
      </c>
      <c r="M9" s="3">
        <v>1500</v>
      </c>
      <c r="N9" s="3">
        <v>2000</v>
      </c>
      <c r="O9" s="3">
        <v>1000</v>
      </c>
      <c r="P9" s="3">
        <v>3500</v>
      </c>
      <c r="Q9" s="3">
        <v>8000</v>
      </c>
      <c r="R9" s="3">
        <v>6000</v>
      </c>
      <c r="S9" s="3">
        <v>11000</v>
      </c>
      <c r="T9" s="3">
        <v>19000</v>
      </c>
      <c r="U9" s="3">
        <v>4500</v>
      </c>
    </row>
    <row r="10" spans="1:21" x14ac:dyDescent="0.25">
      <c r="A10" s="9">
        <v>2009</v>
      </c>
      <c r="B10" s="10" t="s">
        <v>26</v>
      </c>
      <c r="C10" s="7">
        <f t="shared" si="0"/>
        <v>119150</v>
      </c>
      <c r="D10" s="3">
        <v>3000</v>
      </c>
      <c r="E10" s="3">
        <v>900</v>
      </c>
      <c r="F10" s="3">
        <v>14000</v>
      </c>
      <c r="G10" s="3">
        <v>5000</v>
      </c>
      <c r="H10" s="3">
        <v>2250</v>
      </c>
      <c r="I10" s="3">
        <v>5000</v>
      </c>
      <c r="J10" s="3">
        <v>12000</v>
      </c>
      <c r="K10" s="3">
        <v>5000</v>
      </c>
      <c r="L10" s="3">
        <v>9000</v>
      </c>
      <c r="M10" s="3">
        <v>2500</v>
      </c>
      <c r="N10" s="3">
        <v>2000</v>
      </c>
      <c r="O10" s="3">
        <v>1500</v>
      </c>
      <c r="P10" s="3">
        <v>5000</v>
      </c>
      <c r="Q10" s="3">
        <v>5000</v>
      </c>
      <c r="R10" s="3">
        <v>13000</v>
      </c>
      <c r="S10" s="3">
        <v>13000</v>
      </c>
      <c r="T10" s="3">
        <v>16000</v>
      </c>
      <c r="U10" s="3">
        <v>5000</v>
      </c>
    </row>
    <row r="11" spans="1:21" x14ac:dyDescent="0.25">
      <c r="A11" s="9">
        <v>2009</v>
      </c>
      <c r="B11" s="10" t="s">
        <v>8</v>
      </c>
      <c r="C11" s="7">
        <f t="shared" si="0"/>
        <v>37900</v>
      </c>
      <c r="D11" s="3">
        <v>1250</v>
      </c>
      <c r="E11" s="3">
        <v>350</v>
      </c>
      <c r="F11" s="3">
        <v>4000</v>
      </c>
      <c r="G11" s="3">
        <v>1750</v>
      </c>
      <c r="H11" s="3">
        <v>700</v>
      </c>
      <c r="I11" s="3">
        <v>2500</v>
      </c>
      <c r="J11" s="3">
        <v>4000</v>
      </c>
      <c r="K11" s="3">
        <v>1250</v>
      </c>
      <c r="L11" s="3">
        <v>3000</v>
      </c>
      <c r="M11" s="3">
        <v>600</v>
      </c>
      <c r="N11" s="3">
        <v>400</v>
      </c>
      <c r="O11" s="3">
        <v>600</v>
      </c>
      <c r="P11" s="3">
        <v>2250</v>
      </c>
      <c r="Q11" s="3">
        <v>1500</v>
      </c>
      <c r="R11" s="3">
        <v>4500</v>
      </c>
      <c r="S11" s="3">
        <v>2500</v>
      </c>
      <c r="T11" s="3">
        <v>5000</v>
      </c>
      <c r="U11" s="3">
        <v>1750</v>
      </c>
    </row>
    <row r="12" spans="1:21" x14ac:dyDescent="0.25">
      <c r="A12" s="9">
        <v>2009</v>
      </c>
      <c r="B12" s="10" t="s">
        <v>9</v>
      </c>
      <c r="C12" s="7">
        <f t="shared" si="0"/>
        <v>73100</v>
      </c>
      <c r="D12" s="3">
        <v>1250</v>
      </c>
      <c r="E12" s="3">
        <v>350</v>
      </c>
      <c r="F12" s="3">
        <v>4000</v>
      </c>
      <c r="G12" s="3">
        <v>2500</v>
      </c>
      <c r="H12" s="3">
        <v>1500</v>
      </c>
      <c r="I12" s="3">
        <v>4500</v>
      </c>
      <c r="J12" s="3">
        <v>8000</v>
      </c>
      <c r="K12" s="3">
        <v>2250</v>
      </c>
      <c r="L12" s="3">
        <v>7000</v>
      </c>
      <c r="M12" s="3">
        <v>7000</v>
      </c>
      <c r="N12" s="3">
        <v>3000</v>
      </c>
      <c r="O12" s="3">
        <v>1000</v>
      </c>
      <c r="P12" s="3">
        <v>5000</v>
      </c>
      <c r="Q12" s="3">
        <v>3000</v>
      </c>
      <c r="R12" s="3">
        <v>2250</v>
      </c>
      <c r="S12" s="3">
        <v>7000</v>
      </c>
      <c r="T12" s="3">
        <v>10000</v>
      </c>
      <c r="U12" s="3">
        <v>3500</v>
      </c>
    </row>
    <row r="13" spans="1:21" x14ac:dyDescent="0.25">
      <c r="A13" s="9">
        <v>2009</v>
      </c>
      <c r="B13" s="10" t="s">
        <v>10</v>
      </c>
      <c r="C13" s="7">
        <f t="shared" si="0"/>
        <v>116255</v>
      </c>
      <c r="D13" s="3">
        <v>5</v>
      </c>
      <c r="E13" s="3">
        <v>1250</v>
      </c>
      <c r="F13" s="3">
        <v>17000</v>
      </c>
      <c r="G13" s="3">
        <v>5000</v>
      </c>
      <c r="H13" s="3">
        <v>2000</v>
      </c>
      <c r="I13" s="3">
        <v>6000</v>
      </c>
      <c r="J13" s="3">
        <v>14000</v>
      </c>
      <c r="K13" s="3">
        <v>5000</v>
      </c>
      <c r="L13" s="3">
        <v>6000</v>
      </c>
      <c r="M13" s="3">
        <v>2250</v>
      </c>
      <c r="N13" s="3">
        <v>1500</v>
      </c>
      <c r="O13" s="3">
        <v>1250</v>
      </c>
      <c r="P13" s="3">
        <v>4000</v>
      </c>
      <c r="Q13" s="3">
        <v>11000</v>
      </c>
      <c r="R13" s="3">
        <v>8000</v>
      </c>
      <c r="S13" s="3">
        <v>11000</v>
      </c>
      <c r="T13" s="3">
        <v>17000</v>
      </c>
      <c r="U13" s="3">
        <v>4000</v>
      </c>
    </row>
    <row r="14" spans="1:21" x14ac:dyDescent="0.25">
      <c r="A14" s="9">
        <v>2009</v>
      </c>
      <c r="B14" s="10" t="s">
        <v>13</v>
      </c>
      <c r="C14" s="7">
        <f t="shared" si="0"/>
        <v>150900</v>
      </c>
      <c r="D14" s="3">
        <v>400</v>
      </c>
      <c r="E14" s="3">
        <v>1250</v>
      </c>
      <c r="F14" s="3">
        <v>26000</v>
      </c>
      <c r="G14" s="3">
        <v>6000</v>
      </c>
      <c r="H14" s="3">
        <v>3000</v>
      </c>
      <c r="I14" s="3">
        <v>8000</v>
      </c>
      <c r="J14" s="3">
        <v>17000</v>
      </c>
      <c r="K14" s="3">
        <v>6000</v>
      </c>
      <c r="L14" s="3">
        <v>8000</v>
      </c>
      <c r="M14" s="3">
        <v>5000</v>
      </c>
      <c r="N14" s="3">
        <v>2250</v>
      </c>
      <c r="O14" s="3">
        <v>2000</v>
      </c>
      <c r="P14" s="3">
        <v>6000</v>
      </c>
      <c r="Q14" s="3">
        <v>10000</v>
      </c>
      <c r="R14" s="3">
        <v>8000</v>
      </c>
      <c r="S14" s="3">
        <v>18000</v>
      </c>
      <c r="T14" s="3">
        <v>19000</v>
      </c>
      <c r="U14" s="3">
        <v>5000</v>
      </c>
    </row>
    <row r="15" spans="1:21" x14ac:dyDescent="0.25">
      <c r="A15" s="9">
        <v>2009</v>
      </c>
      <c r="B15" s="10" t="s">
        <v>14</v>
      </c>
      <c r="C15" s="7">
        <f t="shared" si="0"/>
        <v>396600</v>
      </c>
      <c r="D15" s="3">
        <v>600</v>
      </c>
      <c r="E15" s="3">
        <v>6000</v>
      </c>
      <c r="F15" s="3">
        <v>30000</v>
      </c>
      <c r="G15" s="3">
        <v>17000</v>
      </c>
      <c r="H15" s="3">
        <v>5000</v>
      </c>
      <c r="I15" s="3">
        <v>18000</v>
      </c>
      <c r="J15" s="3">
        <v>38000</v>
      </c>
      <c r="K15" s="3">
        <v>14000</v>
      </c>
      <c r="L15" s="3">
        <v>23000</v>
      </c>
      <c r="M15" s="3">
        <v>15000</v>
      </c>
      <c r="N15" s="3">
        <v>26000</v>
      </c>
      <c r="O15" s="3">
        <v>7000</v>
      </c>
      <c r="P15" s="3">
        <v>31000</v>
      </c>
      <c r="Q15" s="3">
        <v>41000</v>
      </c>
      <c r="R15" s="3">
        <v>23000</v>
      </c>
      <c r="S15" s="3">
        <v>37000</v>
      </c>
      <c r="T15" s="3">
        <v>48000</v>
      </c>
      <c r="U15" s="3">
        <v>17000</v>
      </c>
    </row>
    <row r="16" spans="1:21" x14ac:dyDescent="0.25">
      <c r="A16" s="9">
        <v>2009</v>
      </c>
      <c r="B16" s="10" t="s">
        <v>15</v>
      </c>
      <c r="C16" s="7">
        <f t="shared" si="0"/>
        <v>68725</v>
      </c>
      <c r="D16" s="3">
        <v>175</v>
      </c>
      <c r="E16" s="3">
        <v>500</v>
      </c>
      <c r="F16" s="3">
        <v>9000</v>
      </c>
      <c r="G16" s="3">
        <v>3000</v>
      </c>
      <c r="H16" s="3">
        <v>1750</v>
      </c>
      <c r="I16" s="3">
        <v>2500</v>
      </c>
      <c r="J16" s="3">
        <v>8000</v>
      </c>
      <c r="K16" s="3">
        <v>5000</v>
      </c>
      <c r="L16" s="3">
        <v>4000</v>
      </c>
      <c r="M16" s="3">
        <v>800</v>
      </c>
      <c r="N16" s="3">
        <v>1000</v>
      </c>
      <c r="O16" s="3">
        <v>1000</v>
      </c>
      <c r="P16" s="3">
        <v>2500</v>
      </c>
      <c r="Q16" s="3">
        <v>4500</v>
      </c>
      <c r="R16" s="3">
        <v>3000</v>
      </c>
      <c r="S16" s="3">
        <v>7000</v>
      </c>
      <c r="T16" s="3">
        <v>12000</v>
      </c>
      <c r="U16" s="3">
        <v>3000</v>
      </c>
    </row>
    <row r="17" spans="1:21" x14ac:dyDescent="0.25">
      <c r="A17" s="9">
        <v>2009</v>
      </c>
      <c r="B17" s="10" t="s">
        <v>16</v>
      </c>
      <c r="C17" s="7">
        <f t="shared" si="0"/>
        <v>69750</v>
      </c>
      <c r="D17" s="3">
        <v>700</v>
      </c>
      <c r="E17" s="3">
        <v>1500</v>
      </c>
      <c r="F17" s="3">
        <v>14000</v>
      </c>
      <c r="G17" s="3">
        <v>5000</v>
      </c>
      <c r="H17" s="3">
        <v>1500</v>
      </c>
      <c r="I17" s="3">
        <v>3000</v>
      </c>
      <c r="J17" s="3">
        <v>7000</v>
      </c>
      <c r="K17" s="3">
        <v>5000</v>
      </c>
      <c r="L17" s="3">
        <v>4000</v>
      </c>
      <c r="M17" s="3">
        <v>450</v>
      </c>
      <c r="N17" s="3">
        <v>800</v>
      </c>
      <c r="O17" s="3">
        <v>800</v>
      </c>
      <c r="P17" s="3">
        <v>2500</v>
      </c>
      <c r="Q17" s="3">
        <v>3500</v>
      </c>
      <c r="R17" s="3">
        <v>3000</v>
      </c>
      <c r="S17" s="3">
        <v>6000</v>
      </c>
      <c r="T17" s="3">
        <v>9000</v>
      </c>
      <c r="U17" s="3">
        <v>2000</v>
      </c>
    </row>
    <row r="18" spans="1:21" x14ac:dyDescent="0.25">
      <c r="A18" s="9">
        <v>2009</v>
      </c>
      <c r="B18" s="10" t="s">
        <v>24</v>
      </c>
      <c r="C18" s="7">
        <f t="shared" si="0"/>
        <v>15350</v>
      </c>
      <c r="D18" s="3">
        <v>700</v>
      </c>
      <c r="E18" s="3">
        <v>225</v>
      </c>
      <c r="F18" s="3">
        <v>1000</v>
      </c>
      <c r="G18" s="3">
        <v>800</v>
      </c>
      <c r="H18" s="3">
        <v>350</v>
      </c>
      <c r="I18" s="3">
        <v>800</v>
      </c>
      <c r="J18" s="3">
        <v>1500</v>
      </c>
      <c r="K18" s="3">
        <v>500</v>
      </c>
      <c r="L18" s="3">
        <v>2000</v>
      </c>
      <c r="M18" s="3">
        <v>200</v>
      </c>
      <c r="N18" s="3">
        <v>125</v>
      </c>
      <c r="O18" s="3">
        <v>300</v>
      </c>
      <c r="P18" s="3">
        <v>600</v>
      </c>
      <c r="Q18" s="3">
        <v>1250</v>
      </c>
      <c r="R18" s="3">
        <v>1000</v>
      </c>
      <c r="S18" s="3">
        <v>1250</v>
      </c>
      <c r="T18" s="3">
        <v>1750</v>
      </c>
      <c r="U18" s="3">
        <v>1000</v>
      </c>
    </row>
    <row r="19" spans="1:21" x14ac:dyDescent="0.25">
      <c r="A19" s="9">
        <v>2009</v>
      </c>
      <c r="B19" s="10" t="s">
        <v>17</v>
      </c>
      <c r="C19" s="7">
        <f t="shared" si="0"/>
        <v>94675</v>
      </c>
      <c r="D19" s="3">
        <v>175</v>
      </c>
      <c r="E19" s="3">
        <v>1750</v>
      </c>
      <c r="F19" s="3">
        <v>13000</v>
      </c>
      <c r="G19" s="3">
        <v>6000</v>
      </c>
      <c r="H19" s="3">
        <v>1500</v>
      </c>
      <c r="I19" s="3">
        <v>3500</v>
      </c>
      <c r="J19" s="3">
        <v>10000</v>
      </c>
      <c r="K19" s="3">
        <v>5000</v>
      </c>
      <c r="L19" s="3">
        <v>5000</v>
      </c>
      <c r="M19" s="3">
        <v>1750</v>
      </c>
      <c r="N19" s="3">
        <v>1750</v>
      </c>
      <c r="O19" s="3">
        <v>1250</v>
      </c>
      <c r="P19" s="3">
        <v>3000</v>
      </c>
      <c r="Q19" s="3">
        <v>9000</v>
      </c>
      <c r="R19" s="3">
        <v>6000</v>
      </c>
      <c r="S19" s="3">
        <v>10000</v>
      </c>
      <c r="T19" s="3">
        <v>13000</v>
      </c>
      <c r="U19" s="3">
        <v>3000</v>
      </c>
    </row>
    <row r="20" spans="1:21" x14ac:dyDescent="0.25">
      <c r="A20" s="9">
        <v>2009</v>
      </c>
      <c r="B20" s="10" t="s">
        <v>18</v>
      </c>
      <c r="C20" s="7">
        <f t="shared" si="0"/>
        <v>22425</v>
      </c>
      <c r="D20" s="3">
        <v>1000</v>
      </c>
      <c r="E20" s="3">
        <v>100</v>
      </c>
      <c r="F20" s="3">
        <v>3500</v>
      </c>
      <c r="G20" s="3">
        <v>1250</v>
      </c>
      <c r="H20" s="3">
        <v>700</v>
      </c>
      <c r="I20" s="3">
        <v>1250</v>
      </c>
      <c r="J20" s="3">
        <v>2000</v>
      </c>
      <c r="K20" s="3">
        <v>700</v>
      </c>
      <c r="L20" s="3">
        <v>2250</v>
      </c>
      <c r="M20" s="3">
        <v>175</v>
      </c>
      <c r="N20" s="3">
        <v>150</v>
      </c>
      <c r="O20" s="3">
        <v>450</v>
      </c>
      <c r="P20" s="3">
        <v>1750</v>
      </c>
      <c r="Q20" s="3">
        <v>800</v>
      </c>
      <c r="R20" s="3">
        <v>600</v>
      </c>
      <c r="S20" s="3">
        <v>2000</v>
      </c>
      <c r="T20" s="3">
        <v>2000</v>
      </c>
      <c r="U20" s="3">
        <v>1750</v>
      </c>
    </row>
    <row r="21" spans="1:21" x14ac:dyDescent="0.25">
      <c r="A21" s="9">
        <v>2009</v>
      </c>
      <c r="B21" s="10" t="s">
        <v>19</v>
      </c>
      <c r="C21" s="7">
        <f t="shared" si="0"/>
        <v>41825</v>
      </c>
      <c r="D21" s="3">
        <v>500</v>
      </c>
      <c r="E21" s="3">
        <v>125</v>
      </c>
      <c r="F21" s="3">
        <v>4500</v>
      </c>
      <c r="G21" s="3">
        <v>1250</v>
      </c>
      <c r="H21" s="3">
        <v>600</v>
      </c>
      <c r="I21" s="3">
        <v>1000</v>
      </c>
      <c r="J21" s="3">
        <v>6000</v>
      </c>
      <c r="K21" s="3">
        <v>1250</v>
      </c>
      <c r="L21" s="3">
        <v>7000</v>
      </c>
      <c r="M21" s="3">
        <v>400</v>
      </c>
      <c r="N21" s="3">
        <v>500</v>
      </c>
      <c r="O21" s="3">
        <v>700</v>
      </c>
      <c r="P21" s="3">
        <v>1000</v>
      </c>
      <c r="Q21" s="3">
        <v>1500</v>
      </c>
      <c r="R21" s="3">
        <v>1750</v>
      </c>
      <c r="S21" s="3">
        <v>4000</v>
      </c>
      <c r="T21" s="3">
        <v>8000</v>
      </c>
      <c r="U21" s="3">
        <v>1750</v>
      </c>
    </row>
    <row r="22" spans="1:21" x14ac:dyDescent="0.25">
      <c r="A22" s="9">
        <v>2009</v>
      </c>
      <c r="B22" s="10" t="s">
        <v>20</v>
      </c>
      <c r="C22" s="7">
        <f t="shared" si="0"/>
        <v>29825</v>
      </c>
      <c r="D22" s="3">
        <v>800</v>
      </c>
      <c r="E22" s="3">
        <v>2000</v>
      </c>
      <c r="F22" s="3">
        <v>6000</v>
      </c>
      <c r="G22" s="3">
        <v>2250</v>
      </c>
      <c r="H22" s="3">
        <v>450</v>
      </c>
      <c r="I22" s="3">
        <v>1500</v>
      </c>
      <c r="J22" s="3">
        <v>2250</v>
      </c>
      <c r="K22" s="3">
        <v>1250</v>
      </c>
      <c r="L22" s="3">
        <v>2250</v>
      </c>
      <c r="M22" s="3">
        <v>300</v>
      </c>
      <c r="N22" s="3">
        <v>225</v>
      </c>
      <c r="O22" s="3">
        <v>300</v>
      </c>
      <c r="P22" s="3">
        <v>1750</v>
      </c>
      <c r="Q22" s="3">
        <v>2000</v>
      </c>
      <c r="R22" s="3">
        <v>700</v>
      </c>
      <c r="S22" s="3">
        <v>2500</v>
      </c>
      <c r="T22" s="3">
        <v>2500</v>
      </c>
      <c r="U22" s="3">
        <v>800</v>
      </c>
    </row>
    <row r="23" spans="1:21" x14ac:dyDescent="0.25">
      <c r="A23" s="9">
        <v>2009</v>
      </c>
      <c r="B23" s="10" t="s">
        <v>21</v>
      </c>
      <c r="C23" s="7">
        <f t="shared" si="0"/>
        <v>248000</v>
      </c>
      <c r="D23" s="3">
        <v>250</v>
      </c>
      <c r="E23" s="3">
        <v>1250</v>
      </c>
      <c r="F23" s="3">
        <v>24000</v>
      </c>
      <c r="G23" s="3">
        <v>10000</v>
      </c>
      <c r="H23" s="3">
        <v>4000</v>
      </c>
      <c r="I23" s="3">
        <v>11000</v>
      </c>
      <c r="J23" s="3">
        <v>26000</v>
      </c>
      <c r="K23" s="3">
        <v>10000</v>
      </c>
      <c r="L23" s="3">
        <v>15000</v>
      </c>
      <c r="M23" s="3">
        <v>8000</v>
      </c>
      <c r="N23" s="3">
        <v>11000</v>
      </c>
      <c r="O23" s="3">
        <v>4500</v>
      </c>
      <c r="P23" s="3">
        <v>14000</v>
      </c>
      <c r="Q23" s="3">
        <v>18000</v>
      </c>
      <c r="R23" s="3">
        <v>14000</v>
      </c>
      <c r="S23" s="3">
        <v>28000</v>
      </c>
      <c r="T23" s="3">
        <v>39000</v>
      </c>
      <c r="U23" s="3">
        <v>10000</v>
      </c>
    </row>
    <row r="24" spans="1:21" x14ac:dyDescent="0.25">
      <c r="A24" s="9">
        <v>2009</v>
      </c>
      <c r="B24" s="10" t="s">
        <v>22</v>
      </c>
      <c r="C24" s="7">
        <f t="shared" si="0"/>
        <v>138950</v>
      </c>
      <c r="D24" s="3">
        <v>200</v>
      </c>
      <c r="E24" s="3">
        <v>1500</v>
      </c>
      <c r="F24" s="3">
        <v>15000</v>
      </c>
      <c r="G24" s="3">
        <v>7000</v>
      </c>
      <c r="H24" s="3">
        <v>3000</v>
      </c>
      <c r="I24" s="3">
        <v>8000</v>
      </c>
      <c r="J24" s="3">
        <v>18000</v>
      </c>
      <c r="K24" s="3">
        <v>10000</v>
      </c>
      <c r="L24" s="3">
        <v>8000</v>
      </c>
      <c r="M24" s="3">
        <v>2500</v>
      </c>
      <c r="N24" s="3">
        <v>2500</v>
      </c>
      <c r="O24" s="3">
        <v>1750</v>
      </c>
      <c r="P24" s="3">
        <v>5000</v>
      </c>
      <c r="Q24" s="3">
        <v>10000</v>
      </c>
      <c r="R24" s="3">
        <v>10000</v>
      </c>
      <c r="S24" s="3">
        <v>12000</v>
      </c>
      <c r="T24" s="3">
        <v>20000</v>
      </c>
      <c r="U24" s="3">
        <v>4500</v>
      </c>
    </row>
    <row r="25" spans="1:21" x14ac:dyDescent="0.25">
      <c r="A25" s="9">
        <v>2009</v>
      </c>
      <c r="B25" s="10" t="s">
        <v>23</v>
      </c>
      <c r="C25" s="7">
        <f t="shared" si="0"/>
        <v>104575</v>
      </c>
      <c r="D25" s="3">
        <v>225</v>
      </c>
      <c r="E25" s="3">
        <v>350</v>
      </c>
      <c r="F25" s="3">
        <v>4500</v>
      </c>
      <c r="G25" s="3">
        <v>4000</v>
      </c>
      <c r="H25" s="3">
        <v>1250</v>
      </c>
      <c r="I25" s="3">
        <v>2500</v>
      </c>
      <c r="J25" s="3">
        <v>13000</v>
      </c>
      <c r="K25" s="3">
        <v>10000</v>
      </c>
      <c r="L25" s="3">
        <v>9000</v>
      </c>
      <c r="M25" s="3">
        <v>3000</v>
      </c>
      <c r="N25" s="3">
        <v>6000</v>
      </c>
      <c r="O25" s="3">
        <v>1250</v>
      </c>
      <c r="P25" s="3">
        <v>6000</v>
      </c>
      <c r="Q25" s="3">
        <v>7000</v>
      </c>
      <c r="R25" s="3">
        <v>6000</v>
      </c>
      <c r="S25" s="3">
        <v>11000</v>
      </c>
      <c r="T25" s="3">
        <v>15000</v>
      </c>
      <c r="U25" s="3">
        <v>4500</v>
      </c>
    </row>
    <row r="26" spans="1:21" x14ac:dyDescent="0.25">
      <c r="A26" s="9">
        <v>2009</v>
      </c>
      <c r="B26" s="4" t="s">
        <v>25</v>
      </c>
      <c r="C26" s="7">
        <f>SUM(D26:U26)</f>
        <v>2219055</v>
      </c>
      <c r="D26" s="5">
        <f>SUM(D5:D25)</f>
        <v>12880</v>
      </c>
      <c r="E26" s="5">
        <f t="shared" ref="E26:U26" si="1">SUM(E5:E25)</f>
        <v>24200</v>
      </c>
      <c r="F26" s="5">
        <f t="shared" si="1"/>
        <v>252750</v>
      </c>
      <c r="G26" s="5">
        <f t="shared" si="1"/>
        <v>99800</v>
      </c>
      <c r="H26" s="5">
        <f t="shared" si="1"/>
        <v>38000</v>
      </c>
      <c r="I26" s="5">
        <f t="shared" si="1"/>
        <v>102550</v>
      </c>
      <c r="J26" s="5">
        <f t="shared" si="1"/>
        <v>241750</v>
      </c>
      <c r="K26" s="5">
        <f t="shared" si="1"/>
        <v>103400</v>
      </c>
      <c r="L26" s="5">
        <f t="shared" si="1"/>
        <v>144000</v>
      </c>
      <c r="M26" s="5">
        <f t="shared" si="1"/>
        <v>61525</v>
      </c>
      <c r="N26" s="5">
        <f t="shared" si="1"/>
        <v>81450</v>
      </c>
      <c r="O26" s="5">
        <f t="shared" si="1"/>
        <v>32900</v>
      </c>
      <c r="P26" s="5">
        <f t="shared" si="1"/>
        <v>110850</v>
      </c>
      <c r="Q26" s="5">
        <f t="shared" si="1"/>
        <v>160050</v>
      </c>
      <c r="R26" s="5">
        <f t="shared" si="1"/>
        <v>132100</v>
      </c>
      <c r="S26" s="5">
        <f t="shared" si="1"/>
        <v>225250</v>
      </c>
      <c r="T26" s="5">
        <f t="shared" si="1"/>
        <v>309750</v>
      </c>
      <c r="U26" s="5">
        <f t="shared" si="1"/>
        <v>85850</v>
      </c>
    </row>
    <row r="27" spans="1:21" x14ac:dyDescent="0.25">
      <c r="A27" s="9">
        <v>2010</v>
      </c>
      <c r="B27" s="10" t="s">
        <v>27</v>
      </c>
      <c r="C27" s="7">
        <f>SUM(D27:U27)</f>
        <v>249500</v>
      </c>
      <c r="D27" s="3">
        <v>7000</v>
      </c>
      <c r="E27" s="3">
        <v>3500</v>
      </c>
      <c r="F27" s="3">
        <v>26000</v>
      </c>
      <c r="G27" s="3">
        <v>12000</v>
      </c>
      <c r="H27" s="3">
        <v>4000</v>
      </c>
      <c r="I27" s="3">
        <v>12000</v>
      </c>
      <c r="J27" s="3">
        <v>25000</v>
      </c>
      <c r="K27" s="3">
        <v>8000</v>
      </c>
      <c r="L27" s="3">
        <v>25000</v>
      </c>
      <c r="M27" s="3">
        <v>9000</v>
      </c>
      <c r="N27" s="3">
        <v>6000</v>
      </c>
      <c r="O27" s="3">
        <v>3000</v>
      </c>
      <c r="P27" s="3">
        <v>15000</v>
      </c>
      <c r="Q27" s="3">
        <v>13000</v>
      </c>
      <c r="R27" s="3">
        <v>12000</v>
      </c>
      <c r="S27" s="3">
        <v>22000</v>
      </c>
      <c r="T27" s="3">
        <v>34000</v>
      </c>
      <c r="U27" s="3">
        <v>13000</v>
      </c>
    </row>
    <row r="28" spans="1:21" x14ac:dyDescent="0.25">
      <c r="A28" s="9">
        <v>2010</v>
      </c>
      <c r="B28" s="10" t="s">
        <v>11</v>
      </c>
      <c r="C28" s="7">
        <f t="shared" ref="C28:C90" si="2">SUM(D28:U28)</f>
        <v>519250</v>
      </c>
      <c r="D28" s="3">
        <v>1250</v>
      </c>
      <c r="E28" s="3">
        <v>5000</v>
      </c>
      <c r="F28" s="3">
        <v>54000</v>
      </c>
      <c r="G28" s="3">
        <v>28000</v>
      </c>
      <c r="H28" s="3">
        <v>8000</v>
      </c>
      <c r="I28" s="3">
        <v>21000</v>
      </c>
      <c r="J28" s="3">
        <v>56000</v>
      </c>
      <c r="K28" s="3">
        <v>25000</v>
      </c>
      <c r="L28" s="3">
        <v>30000</v>
      </c>
      <c r="M28" s="3">
        <v>12000</v>
      </c>
      <c r="N28" s="3">
        <v>15000</v>
      </c>
      <c r="O28" s="3">
        <v>6000</v>
      </c>
      <c r="P28" s="3">
        <v>22000</v>
      </c>
      <c r="Q28" s="3">
        <v>41000</v>
      </c>
      <c r="R28" s="3">
        <v>33000</v>
      </c>
      <c r="S28" s="3">
        <v>55000</v>
      </c>
      <c r="T28" s="3">
        <v>84000</v>
      </c>
      <c r="U28" s="3">
        <v>23000</v>
      </c>
    </row>
    <row r="29" spans="1:21" x14ac:dyDescent="0.25">
      <c r="A29" s="9">
        <v>2010</v>
      </c>
      <c r="B29" s="10" t="s">
        <v>12</v>
      </c>
      <c r="C29" s="7">
        <f t="shared" si="2"/>
        <v>960750</v>
      </c>
      <c r="D29" s="3">
        <v>1750</v>
      </c>
      <c r="E29" s="3">
        <v>13000</v>
      </c>
      <c r="F29" s="3">
        <v>109000</v>
      </c>
      <c r="G29" s="3">
        <v>41000</v>
      </c>
      <c r="H29" s="3">
        <v>14000</v>
      </c>
      <c r="I29" s="3">
        <v>47000</v>
      </c>
      <c r="J29" s="3">
        <v>93000</v>
      </c>
      <c r="K29" s="3">
        <v>40000</v>
      </c>
      <c r="L29" s="3">
        <v>51000</v>
      </c>
      <c r="M29" s="3">
        <v>30000</v>
      </c>
      <c r="N29" s="3">
        <v>48000</v>
      </c>
      <c r="O29" s="3">
        <v>11000</v>
      </c>
      <c r="P29" s="3">
        <v>54000</v>
      </c>
      <c r="Q29" s="3">
        <v>83000</v>
      </c>
      <c r="R29" s="3">
        <v>56000</v>
      </c>
      <c r="S29" s="3">
        <v>96000</v>
      </c>
      <c r="T29" s="3">
        <v>133000</v>
      </c>
      <c r="U29" s="3">
        <v>40000</v>
      </c>
    </row>
    <row r="30" spans="1:21" x14ac:dyDescent="0.25">
      <c r="A30" s="9">
        <v>2010</v>
      </c>
      <c r="B30" s="10" t="s">
        <v>3</v>
      </c>
      <c r="C30" s="7">
        <f t="shared" si="2"/>
        <v>70900</v>
      </c>
      <c r="D30" s="3">
        <v>250</v>
      </c>
      <c r="E30" s="3">
        <v>400</v>
      </c>
      <c r="F30" s="3">
        <v>10000</v>
      </c>
      <c r="G30" s="3">
        <v>4000</v>
      </c>
      <c r="H30" s="3">
        <v>1000</v>
      </c>
      <c r="I30" s="3">
        <v>3000</v>
      </c>
      <c r="J30" s="3">
        <v>7000</v>
      </c>
      <c r="K30" s="3">
        <v>2500</v>
      </c>
      <c r="L30" s="3">
        <v>5000</v>
      </c>
      <c r="M30" s="3">
        <v>1250</v>
      </c>
      <c r="N30" s="3">
        <v>1500</v>
      </c>
      <c r="O30" s="3">
        <v>1000</v>
      </c>
      <c r="P30" s="3">
        <v>2500</v>
      </c>
      <c r="Q30" s="3">
        <v>4000</v>
      </c>
      <c r="R30" s="3">
        <v>5000</v>
      </c>
      <c r="S30" s="3">
        <v>7000</v>
      </c>
      <c r="T30" s="3">
        <v>13000</v>
      </c>
      <c r="U30" s="3">
        <v>2500</v>
      </c>
    </row>
    <row r="31" spans="1:21" x14ac:dyDescent="0.25">
      <c r="A31" s="9">
        <v>2010</v>
      </c>
      <c r="B31" s="10" t="s">
        <v>5</v>
      </c>
      <c r="C31" s="7">
        <f t="shared" si="2"/>
        <v>193350</v>
      </c>
      <c r="D31" s="3">
        <v>350</v>
      </c>
      <c r="E31" s="3">
        <v>2500</v>
      </c>
      <c r="F31" s="3">
        <v>25000</v>
      </c>
      <c r="G31" s="3">
        <v>7000</v>
      </c>
      <c r="H31" s="3">
        <v>3000</v>
      </c>
      <c r="I31" s="3">
        <v>10000</v>
      </c>
      <c r="J31" s="3">
        <v>19000</v>
      </c>
      <c r="K31" s="3">
        <v>7000</v>
      </c>
      <c r="L31" s="3">
        <v>9000</v>
      </c>
      <c r="M31" s="3">
        <v>6000</v>
      </c>
      <c r="N31" s="3">
        <v>7000</v>
      </c>
      <c r="O31" s="3">
        <v>2500</v>
      </c>
      <c r="P31" s="3">
        <v>9000</v>
      </c>
      <c r="Q31" s="3">
        <v>13000</v>
      </c>
      <c r="R31" s="3">
        <v>11000</v>
      </c>
      <c r="S31" s="3">
        <v>22000</v>
      </c>
      <c r="T31" s="3">
        <v>32000</v>
      </c>
      <c r="U31" s="3">
        <v>8000</v>
      </c>
    </row>
    <row r="32" spans="1:21" x14ac:dyDescent="0.25">
      <c r="A32" s="9">
        <v>2010</v>
      </c>
      <c r="B32" s="10" t="s">
        <v>4</v>
      </c>
      <c r="C32" s="7">
        <f t="shared" si="2"/>
        <v>87550</v>
      </c>
      <c r="D32" s="3">
        <v>200</v>
      </c>
      <c r="E32" s="3">
        <v>450</v>
      </c>
      <c r="F32" s="3">
        <v>13000</v>
      </c>
      <c r="G32" s="3">
        <v>4000</v>
      </c>
      <c r="H32" s="3">
        <v>1250</v>
      </c>
      <c r="I32" s="3">
        <v>4500</v>
      </c>
      <c r="J32" s="3">
        <v>7000</v>
      </c>
      <c r="K32" s="3">
        <v>2500</v>
      </c>
      <c r="L32" s="3">
        <v>4500</v>
      </c>
      <c r="M32" s="3">
        <v>1750</v>
      </c>
      <c r="N32" s="3">
        <v>12000</v>
      </c>
      <c r="O32" s="3">
        <v>900</v>
      </c>
      <c r="P32" s="3">
        <v>2500</v>
      </c>
      <c r="Q32" s="3">
        <v>8000</v>
      </c>
      <c r="R32" s="3">
        <v>4000</v>
      </c>
      <c r="S32" s="3">
        <v>8000</v>
      </c>
      <c r="T32" s="3">
        <v>10000</v>
      </c>
      <c r="U32" s="3">
        <v>3000</v>
      </c>
    </row>
    <row r="33" spans="1:21" x14ac:dyDescent="0.25">
      <c r="A33" s="9">
        <v>2010</v>
      </c>
      <c r="B33" s="10" t="s">
        <v>6</v>
      </c>
      <c r="C33" s="7">
        <f t="shared" si="2"/>
        <v>26100</v>
      </c>
      <c r="D33" s="3">
        <v>600</v>
      </c>
      <c r="E33" s="3">
        <v>200</v>
      </c>
      <c r="F33" s="3">
        <v>2500</v>
      </c>
      <c r="G33" s="3">
        <v>1500</v>
      </c>
      <c r="H33" s="3">
        <v>350</v>
      </c>
      <c r="I33" s="3">
        <v>1250</v>
      </c>
      <c r="J33" s="3">
        <v>2500</v>
      </c>
      <c r="K33" s="3">
        <v>500</v>
      </c>
      <c r="L33" s="3">
        <v>2500</v>
      </c>
      <c r="M33" s="3">
        <v>300</v>
      </c>
      <c r="N33" s="3">
        <v>2000</v>
      </c>
      <c r="O33" s="3">
        <v>300</v>
      </c>
      <c r="P33" s="3">
        <v>2500</v>
      </c>
      <c r="Q33" s="3">
        <v>2500</v>
      </c>
      <c r="R33" s="3">
        <v>600</v>
      </c>
      <c r="S33" s="3">
        <v>2500</v>
      </c>
      <c r="T33" s="3">
        <v>2500</v>
      </c>
      <c r="U33" s="3">
        <v>1000</v>
      </c>
    </row>
    <row r="34" spans="1:21" x14ac:dyDescent="0.25">
      <c r="A34" s="9">
        <v>2010</v>
      </c>
      <c r="B34" s="10" t="s">
        <v>7</v>
      </c>
      <c r="C34" s="7">
        <f t="shared" si="2"/>
        <v>111050</v>
      </c>
      <c r="D34" s="3">
        <v>450</v>
      </c>
      <c r="E34" s="3">
        <v>1500</v>
      </c>
      <c r="F34" s="3">
        <v>9000</v>
      </c>
      <c r="G34" s="3">
        <v>7000</v>
      </c>
      <c r="H34" s="3">
        <v>2500</v>
      </c>
      <c r="I34" s="3">
        <v>4000</v>
      </c>
      <c r="J34" s="3">
        <v>14000</v>
      </c>
      <c r="K34" s="3">
        <v>9000</v>
      </c>
      <c r="L34" s="3">
        <v>6000</v>
      </c>
      <c r="M34" s="3">
        <v>1500</v>
      </c>
      <c r="N34" s="3">
        <v>2000</v>
      </c>
      <c r="O34" s="3">
        <v>600</v>
      </c>
      <c r="P34" s="3">
        <v>3500</v>
      </c>
      <c r="Q34" s="3">
        <v>8000</v>
      </c>
      <c r="R34" s="3">
        <v>7000</v>
      </c>
      <c r="S34" s="3">
        <v>11000</v>
      </c>
      <c r="T34" s="3">
        <v>19000</v>
      </c>
      <c r="U34" s="3">
        <v>5000</v>
      </c>
    </row>
    <row r="35" spans="1:21" x14ac:dyDescent="0.25">
      <c r="A35" s="9">
        <v>2010</v>
      </c>
      <c r="B35" s="10" t="s">
        <v>26</v>
      </c>
      <c r="C35" s="7">
        <f t="shared" si="2"/>
        <v>117750</v>
      </c>
      <c r="D35" s="3">
        <v>3500</v>
      </c>
      <c r="E35" s="3">
        <v>1000</v>
      </c>
      <c r="F35" s="3">
        <v>14000</v>
      </c>
      <c r="G35" s="3">
        <v>6000</v>
      </c>
      <c r="H35" s="3">
        <v>2000</v>
      </c>
      <c r="I35" s="3">
        <v>4500</v>
      </c>
      <c r="J35" s="3">
        <v>12000</v>
      </c>
      <c r="K35" s="3">
        <v>5000</v>
      </c>
      <c r="L35" s="3">
        <v>8000</v>
      </c>
      <c r="M35" s="3">
        <v>2250</v>
      </c>
      <c r="N35" s="3">
        <v>1000</v>
      </c>
      <c r="O35" s="3">
        <v>1000</v>
      </c>
      <c r="P35" s="3">
        <v>4500</v>
      </c>
      <c r="Q35" s="3">
        <v>5000</v>
      </c>
      <c r="R35" s="3">
        <v>13000</v>
      </c>
      <c r="S35" s="3">
        <v>13000</v>
      </c>
      <c r="T35" s="3">
        <v>17000</v>
      </c>
      <c r="U35" s="3">
        <v>5000</v>
      </c>
    </row>
    <row r="36" spans="1:21" x14ac:dyDescent="0.25">
      <c r="A36" s="9">
        <v>2010</v>
      </c>
      <c r="B36" s="10" t="s">
        <v>8</v>
      </c>
      <c r="C36" s="7">
        <f t="shared" si="2"/>
        <v>39150</v>
      </c>
      <c r="D36" s="3">
        <v>1500</v>
      </c>
      <c r="E36" s="3">
        <v>400</v>
      </c>
      <c r="F36" s="3">
        <v>4000</v>
      </c>
      <c r="G36" s="3">
        <v>2000</v>
      </c>
      <c r="H36" s="3">
        <v>600</v>
      </c>
      <c r="I36" s="3">
        <v>2500</v>
      </c>
      <c r="J36" s="3">
        <v>3500</v>
      </c>
      <c r="K36" s="3">
        <v>1250</v>
      </c>
      <c r="L36" s="3">
        <v>3000</v>
      </c>
      <c r="M36" s="3">
        <v>600</v>
      </c>
      <c r="N36" s="3">
        <v>350</v>
      </c>
      <c r="O36" s="3">
        <v>450</v>
      </c>
      <c r="P36" s="3">
        <v>2000</v>
      </c>
      <c r="Q36" s="3">
        <v>1500</v>
      </c>
      <c r="R36" s="3">
        <v>5000</v>
      </c>
      <c r="S36" s="3">
        <v>3000</v>
      </c>
      <c r="T36" s="3">
        <v>6000</v>
      </c>
      <c r="U36" s="3">
        <v>1500</v>
      </c>
    </row>
    <row r="37" spans="1:21" x14ac:dyDescent="0.25">
      <c r="A37" s="9">
        <v>2010</v>
      </c>
      <c r="B37" s="10" t="s">
        <v>9</v>
      </c>
      <c r="C37" s="7">
        <f t="shared" si="2"/>
        <v>76250</v>
      </c>
      <c r="D37" s="3">
        <v>1500</v>
      </c>
      <c r="E37" s="3">
        <v>600</v>
      </c>
      <c r="F37" s="3">
        <v>4500</v>
      </c>
      <c r="G37" s="3">
        <v>2500</v>
      </c>
      <c r="H37" s="3">
        <v>1500</v>
      </c>
      <c r="I37" s="3">
        <v>4500</v>
      </c>
      <c r="J37" s="3">
        <v>8000</v>
      </c>
      <c r="K37" s="3">
        <v>2250</v>
      </c>
      <c r="L37" s="3">
        <v>7000</v>
      </c>
      <c r="M37" s="3">
        <v>7000</v>
      </c>
      <c r="N37" s="3">
        <v>2500</v>
      </c>
      <c r="O37" s="3">
        <v>900</v>
      </c>
      <c r="P37" s="3">
        <v>5000</v>
      </c>
      <c r="Q37" s="3">
        <v>3500</v>
      </c>
      <c r="R37" s="3">
        <v>2500</v>
      </c>
      <c r="S37" s="3">
        <v>7000</v>
      </c>
      <c r="T37" s="3">
        <v>11000</v>
      </c>
      <c r="U37" s="3">
        <v>4500</v>
      </c>
    </row>
    <row r="38" spans="1:21" x14ac:dyDescent="0.25">
      <c r="A38" s="9">
        <v>2010</v>
      </c>
      <c r="B38" s="10" t="s">
        <v>10</v>
      </c>
      <c r="C38" s="7">
        <f t="shared" si="2"/>
        <v>114935</v>
      </c>
      <c r="D38" s="3">
        <v>35</v>
      </c>
      <c r="E38" s="3">
        <v>1250</v>
      </c>
      <c r="F38" s="3">
        <v>18000</v>
      </c>
      <c r="G38" s="3">
        <v>6000</v>
      </c>
      <c r="H38" s="3">
        <v>1750</v>
      </c>
      <c r="I38" s="3">
        <v>5000</v>
      </c>
      <c r="J38" s="3">
        <v>13000</v>
      </c>
      <c r="K38" s="3">
        <v>4500</v>
      </c>
      <c r="L38" s="3">
        <v>6000</v>
      </c>
      <c r="M38" s="3">
        <v>2250</v>
      </c>
      <c r="N38" s="3">
        <v>1250</v>
      </c>
      <c r="O38" s="3">
        <v>900</v>
      </c>
      <c r="P38" s="3">
        <v>3500</v>
      </c>
      <c r="Q38" s="3">
        <v>12000</v>
      </c>
      <c r="R38" s="3">
        <v>7000</v>
      </c>
      <c r="S38" s="3">
        <v>12000</v>
      </c>
      <c r="T38" s="3">
        <v>16000</v>
      </c>
      <c r="U38" s="3">
        <v>4500</v>
      </c>
    </row>
    <row r="39" spans="1:21" x14ac:dyDescent="0.25">
      <c r="A39" s="9">
        <v>2010</v>
      </c>
      <c r="B39" s="10" t="s">
        <v>13</v>
      </c>
      <c r="C39" s="7">
        <f t="shared" si="2"/>
        <v>144350</v>
      </c>
      <c r="D39" s="3">
        <v>350</v>
      </c>
      <c r="E39" s="3">
        <v>1250</v>
      </c>
      <c r="F39" s="3">
        <v>25000</v>
      </c>
      <c r="G39" s="3">
        <v>6000</v>
      </c>
      <c r="H39" s="3">
        <v>2500</v>
      </c>
      <c r="I39" s="3">
        <v>7000</v>
      </c>
      <c r="J39" s="3">
        <v>16000</v>
      </c>
      <c r="K39" s="3">
        <v>6000</v>
      </c>
      <c r="L39" s="3">
        <v>7000</v>
      </c>
      <c r="M39" s="3">
        <v>4500</v>
      </c>
      <c r="N39" s="3">
        <v>2250</v>
      </c>
      <c r="O39" s="3">
        <v>1500</v>
      </c>
      <c r="P39" s="3">
        <v>6000</v>
      </c>
      <c r="Q39" s="3">
        <v>8000</v>
      </c>
      <c r="R39" s="3">
        <v>6000</v>
      </c>
      <c r="S39" s="3">
        <v>18000</v>
      </c>
      <c r="T39" s="3">
        <v>21000</v>
      </c>
      <c r="U39" s="3">
        <v>6000</v>
      </c>
    </row>
    <row r="40" spans="1:21" x14ac:dyDescent="0.25">
      <c r="A40" s="9">
        <v>2010</v>
      </c>
      <c r="B40" s="10" t="s">
        <v>14</v>
      </c>
      <c r="C40" s="7">
        <f t="shared" si="2"/>
        <v>397700</v>
      </c>
      <c r="D40" s="3">
        <v>700</v>
      </c>
      <c r="E40" s="3">
        <v>7000</v>
      </c>
      <c r="F40" s="3">
        <v>31000</v>
      </c>
      <c r="G40" s="3">
        <v>18000</v>
      </c>
      <c r="H40" s="3">
        <v>5000</v>
      </c>
      <c r="I40" s="3">
        <v>17000</v>
      </c>
      <c r="J40" s="3">
        <v>36000</v>
      </c>
      <c r="K40" s="3">
        <v>14000</v>
      </c>
      <c r="L40" s="3">
        <v>22000</v>
      </c>
      <c r="M40" s="3">
        <v>15000</v>
      </c>
      <c r="N40" s="3">
        <v>25000</v>
      </c>
      <c r="O40" s="3">
        <v>5000</v>
      </c>
      <c r="P40" s="3">
        <v>31000</v>
      </c>
      <c r="Q40" s="3">
        <v>42000</v>
      </c>
      <c r="R40" s="3">
        <v>23000</v>
      </c>
      <c r="S40" s="3">
        <v>37000</v>
      </c>
      <c r="T40" s="3">
        <v>51000</v>
      </c>
      <c r="U40" s="3">
        <v>18000</v>
      </c>
    </row>
    <row r="41" spans="1:21" x14ac:dyDescent="0.25">
      <c r="A41" s="9">
        <v>2010</v>
      </c>
      <c r="B41" s="10" t="s">
        <v>15</v>
      </c>
      <c r="C41" s="7">
        <f t="shared" si="2"/>
        <v>66725</v>
      </c>
      <c r="D41" s="3">
        <v>225</v>
      </c>
      <c r="E41" s="3">
        <v>600</v>
      </c>
      <c r="F41" s="3">
        <v>9000</v>
      </c>
      <c r="G41" s="3">
        <v>2500</v>
      </c>
      <c r="H41" s="3">
        <v>1500</v>
      </c>
      <c r="I41" s="3">
        <v>2500</v>
      </c>
      <c r="J41" s="3">
        <v>8000</v>
      </c>
      <c r="K41" s="3">
        <v>5000</v>
      </c>
      <c r="L41" s="3">
        <v>4000</v>
      </c>
      <c r="M41" s="3">
        <v>700</v>
      </c>
      <c r="N41" s="3">
        <v>700</v>
      </c>
      <c r="O41" s="3">
        <v>500</v>
      </c>
      <c r="P41" s="3">
        <v>2500</v>
      </c>
      <c r="Q41" s="3">
        <v>5000</v>
      </c>
      <c r="R41" s="3">
        <v>3000</v>
      </c>
      <c r="S41" s="3">
        <v>6000</v>
      </c>
      <c r="T41" s="3">
        <v>12000</v>
      </c>
      <c r="U41" s="3">
        <v>3000</v>
      </c>
    </row>
    <row r="42" spans="1:21" x14ac:dyDescent="0.25">
      <c r="A42" s="9">
        <v>2010</v>
      </c>
      <c r="B42" s="10" t="s">
        <v>16</v>
      </c>
      <c r="C42" s="7">
        <f t="shared" si="2"/>
        <v>69350</v>
      </c>
      <c r="D42" s="3">
        <v>800</v>
      </c>
      <c r="E42" s="3">
        <v>1500</v>
      </c>
      <c r="F42" s="3">
        <v>14000</v>
      </c>
      <c r="G42" s="3">
        <v>5000</v>
      </c>
      <c r="H42" s="3">
        <v>1250</v>
      </c>
      <c r="I42" s="3">
        <v>3000</v>
      </c>
      <c r="J42" s="3">
        <v>6000</v>
      </c>
      <c r="K42" s="3">
        <v>5000</v>
      </c>
      <c r="L42" s="3">
        <v>4000</v>
      </c>
      <c r="M42" s="3">
        <v>500</v>
      </c>
      <c r="N42" s="3">
        <v>800</v>
      </c>
      <c r="O42" s="3">
        <v>500</v>
      </c>
      <c r="P42" s="3">
        <v>2250</v>
      </c>
      <c r="Q42" s="3">
        <v>3500</v>
      </c>
      <c r="R42" s="3">
        <v>3000</v>
      </c>
      <c r="S42" s="3">
        <v>6000</v>
      </c>
      <c r="T42" s="3">
        <v>10000</v>
      </c>
      <c r="U42" s="3">
        <v>2250</v>
      </c>
    </row>
    <row r="43" spans="1:21" x14ac:dyDescent="0.25">
      <c r="A43" s="9">
        <v>2010</v>
      </c>
      <c r="B43" s="10" t="s">
        <v>24</v>
      </c>
      <c r="C43" s="7">
        <f t="shared" si="2"/>
        <v>16675</v>
      </c>
      <c r="D43" s="3">
        <v>800</v>
      </c>
      <c r="E43" s="3">
        <v>175</v>
      </c>
      <c r="F43" s="3">
        <v>1000</v>
      </c>
      <c r="G43" s="3">
        <v>900</v>
      </c>
      <c r="H43" s="3">
        <v>250</v>
      </c>
      <c r="I43" s="3">
        <v>800</v>
      </c>
      <c r="J43" s="3">
        <v>1500</v>
      </c>
      <c r="K43" s="3">
        <v>400</v>
      </c>
      <c r="L43" s="3">
        <v>2250</v>
      </c>
      <c r="M43" s="3">
        <v>150</v>
      </c>
      <c r="N43" s="3">
        <v>100</v>
      </c>
      <c r="O43" s="3">
        <v>250</v>
      </c>
      <c r="P43" s="3">
        <v>600</v>
      </c>
      <c r="Q43" s="3">
        <v>1500</v>
      </c>
      <c r="R43" s="3">
        <v>1250</v>
      </c>
      <c r="S43" s="3">
        <v>1500</v>
      </c>
      <c r="T43" s="3">
        <v>1750</v>
      </c>
      <c r="U43" s="3">
        <v>1500</v>
      </c>
    </row>
    <row r="44" spans="1:21" x14ac:dyDescent="0.25">
      <c r="A44" s="9">
        <v>2010</v>
      </c>
      <c r="B44" s="10" t="s">
        <v>17</v>
      </c>
      <c r="C44" s="7">
        <f t="shared" si="2"/>
        <v>96675</v>
      </c>
      <c r="D44" s="3">
        <v>175</v>
      </c>
      <c r="E44" s="3">
        <v>1750</v>
      </c>
      <c r="F44" s="3">
        <v>13000</v>
      </c>
      <c r="G44" s="3">
        <v>7000</v>
      </c>
      <c r="H44" s="3">
        <v>1500</v>
      </c>
      <c r="I44" s="3">
        <v>4000</v>
      </c>
      <c r="J44" s="3">
        <v>10000</v>
      </c>
      <c r="K44" s="3">
        <v>4500</v>
      </c>
      <c r="L44" s="3">
        <v>5000</v>
      </c>
      <c r="M44" s="3">
        <v>1500</v>
      </c>
      <c r="N44" s="3">
        <v>1250</v>
      </c>
      <c r="O44" s="3">
        <v>1000</v>
      </c>
      <c r="P44" s="3">
        <v>3000</v>
      </c>
      <c r="Q44" s="3">
        <v>10000</v>
      </c>
      <c r="R44" s="3">
        <v>7000</v>
      </c>
      <c r="S44" s="3">
        <v>9000</v>
      </c>
      <c r="T44" s="3">
        <v>13000</v>
      </c>
      <c r="U44" s="3">
        <v>4000</v>
      </c>
    </row>
    <row r="45" spans="1:21" x14ac:dyDescent="0.25">
      <c r="A45" s="9">
        <v>2010</v>
      </c>
      <c r="B45" s="10" t="s">
        <v>18</v>
      </c>
      <c r="C45" s="7">
        <f t="shared" si="2"/>
        <v>22100</v>
      </c>
      <c r="D45" s="3">
        <v>1250</v>
      </c>
      <c r="E45" s="3">
        <v>125</v>
      </c>
      <c r="F45" s="3">
        <v>3500</v>
      </c>
      <c r="G45" s="3">
        <v>1250</v>
      </c>
      <c r="H45" s="3">
        <v>600</v>
      </c>
      <c r="I45" s="3">
        <v>1250</v>
      </c>
      <c r="J45" s="3">
        <v>2000</v>
      </c>
      <c r="K45" s="3">
        <v>700</v>
      </c>
      <c r="L45" s="3">
        <v>2000</v>
      </c>
      <c r="M45" s="3">
        <v>150</v>
      </c>
      <c r="N45" s="3">
        <v>125</v>
      </c>
      <c r="O45" s="3">
        <v>350</v>
      </c>
      <c r="P45" s="3">
        <v>1500</v>
      </c>
      <c r="Q45" s="3">
        <v>800</v>
      </c>
      <c r="R45" s="3">
        <v>500</v>
      </c>
      <c r="S45" s="3">
        <v>2000</v>
      </c>
      <c r="T45" s="3">
        <v>2000</v>
      </c>
      <c r="U45" s="3">
        <v>2000</v>
      </c>
    </row>
    <row r="46" spans="1:21" x14ac:dyDescent="0.25">
      <c r="A46" s="9">
        <v>2010</v>
      </c>
      <c r="B46" s="10" t="s">
        <v>19</v>
      </c>
      <c r="C46" s="7">
        <f t="shared" si="2"/>
        <v>39750</v>
      </c>
      <c r="D46" s="3">
        <v>700</v>
      </c>
      <c r="E46" s="3">
        <v>150</v>
      </c>
      <c r="F46" s="3">
        <v>5000</v>
      </c>
      <c r="G46" s="3">
        <v>1500</v>
      </c>
      <c r="H46" s="3">
        <v>500</v>
      </c>
      <c r="I46" s="3">
        <v>1000</v>
      </c>
      <c r="J46" s="3">
        <v>5000</v>
      </c>
      <c r="K46" s="3">
        <v>1000</v>
      </c>
      <c r="L46" s="3">
        <v>6000</v>
      </c>
      <c r="M46" s="3">
        <v>300</v>
      </c>
      <c r="N46" s="3">
        <v>450</v>
      </c>
      <c r="O46" s="3">
        <v>500</v>
      </c>
      <c r="P46" s="3">
        <v>900</v>
      </c>
      <c r="Q46" s="3">
        <v>1250</v>
      </c>
      <c r="R46" s="3">
        <v>1500</v>
      </c>
      <c r="S46" s="3">
        <v>4000</v>
      </c>
      <c r="T46" s="3">
        <v>8000</v>
      </c>
      <c r="U46" s="3">
        <v>2000</v>
      </c>
    </row>
    <row r="47" spans="1:21" x14ac:dyDescent="0.25">
      <c r="A47" s="9">
        <v>2010</v>
      </c>
      <c r="B47" s="10" t="s">
        <v>20</v>
      </c>
      <c r="C47" s="7">
        <f t="shared" si="2"/>
        <v>31850</v>
      </c>
      <c r="D47" s="3">
        <v>800</v>
      </c>
      <c r="E47" s="3">
        <v>2000</v>
      </c>
      <c r="F47" s="3">
        <v>6000</v>
      </c>
      <c r="G47" s="3">
        <v>2500</v>
      </c>
      <c r="H47" s="3">
        <v>400</v>
      </c>
      <c r="I47" s="3">
        <v>1500</v>
      </c>
      <c r="J47" s="3">
        <v>2250</v>
      </c>
      <c r="K47" s="3">
        <v>2250</v>
      </c>
      <c r="L47" s="3">
        <v>2000</v>
      </c>
      <c r="M47" s="3">
        <v>250</v>
      </c>
      <c r="N47" s="3">
        <v>200</v>
      </c>
      <c r="O47" s="3">
        <v>150</v>
      </c>
      <c r="P47" s="3">
        <v>2000</v>
      </c>
      <c r="Q47" s="3">
        <v>2250</v>
      </c>
      <c r="R47" s="3">
        <v>800</v>
      </c>
      <c r="S47" s="3">
        <v>3000</v>
      </c>
      <c r="T47" s="3">
        <v>2500</v>
      </c>
      <c r="U47" s="3">
        <v>1000</v>
      </c>
    </row>
    <row r="48" spans="1:21" x14ac:dyDescent="0.25">
      <c r="A48" s="9">
        <v>2010</v>
      </c>
      <c r="B48" s="10" t="s">
        <v>21</v>
      </c>
      <c r="C48" s="7">
        <f t="shared" si="2"/>
        <v>241350</v>
      </c>
      <c r="D48" s="3">
        <v>350</v>
      </c>
      <c r="E48" s="3">
        <v>1500</v>
      </c>
      <c r="F48" s="3">
        <v>22000</v>
      </c>
      <c r="G48" s="3">
        <v>10000</v>
      </c>
      <c r="H48" s="3">
        <v>3500</v>
      </c>
      <c r="I48" s="3">
        <v>11000</v>
      </c>
      <c r="J48" s="3">
        <v>25000</v>
      </c>
      <c r="K48" s="3">
        <v>9000</v>
      </c>
      <c r="L48" s="3">
        <v>14000</v>
      </c>
      <c r="M48" s="3">
        <v>8000</v>
      </c>
      <c r="N48" s="3">
        <v>10000</v>
      </c>
      <c r="O48" s="3">
        <v>4000</v>
      </c>
      <c r="P48" s="3">
        <v>13000</v>
      </c>
      <c r="Q48" s="3">
        <v>19000</v>
      </c>
      <c r="R48" s="3">
        <v>14000</v>
      </c>
      <c r="S48" s="3">
        <v>27000</v>
      </c>
      <c r="T48" s="3">
        <v>39000</v>
      </c>
      <c r="U48" s="3">
        <v>11000</v>
      </c>
    </row>
    <row r="49" spans="1:21" x14ac:dyDescent="0.25">
      <c r="A49" s="9">
        <v>2010</v>
      </c>
      <c r="B49" s="10" t="s">
        <v>22</v>
      </c>
      <c r="C49" s="7">
        <f t="shared" si="2"/>
        <v>138975</v>
      </c>
      <c r="D49" s="3">
        <v>225</v>
      </c>
      <c r="E49" s="3">
        <v>1750</v>
      </c>
      <c r="F49" s="3">
        <v>15000</v>
      </c>
      <c r="G49" s="3">
        <v>7000</v>
      </c>
      <c r="H49" s="3">
        <v>2500</v>
      </c>
      <c r="I49" s="3">
        <v>8000</v>
      </c>
      <c r="J49" s="3">
        <v>15000</v>
      </c>
      <c r="K49" s="3">
        <v>12000</v>
      </c>
      <c r="L49" s="3">
        <v>8000</v>
      </c>
      <c r="M49" s="3">
        <v>2500</v>
      </c>
      <c r="N49" s="3">
        <v>1750</v>
      </c>
      <c r="O49" s="3">
        <v>1750</v>
      </c>
      <c r="P49" s="3">
        <v>4500</v>
      </c>
      <c r="Q49" s="3">
        <v>11000</v>
      </c>
      <c r="R49" s="3">
        <v>11000</v>
      </c>
      <c r="S49" s="3">
        <v>12000</v>
      </c>
      <c r="T49" s="3">
        <v>20000</v>
      </c>
      <c r="U49" s="3">
        <v>5000</v>
      </c>
    </row>
    <row r="50" spans="1:21" x14ac:dyDescent="0.25">
      <c r="A50" s="9">
        <v>2010</v>
      </c>
      <c r="B50" s="10" t="s">
        <v>23</v>
      </c>
      <c r="C50" s="7">
        <f t="shared" si="2"/>
        <v>102400</v>
      </c>
      <c r="D50" s="3">
        <v>250</v>
      </c>
      <c r="E50" s="3">
        <v>400</v>
      </c>
      <c r="F50" s="3">
        <v>4500</v>
      </c>
      <c r="G50" s="3">
        <v>4500</v>
      </c>
      <c r="H50" s="3">
        <v>1250</v>
      </c>
      <c r="I50" s="3">
        <v>2250</v>
      </c>
      <c r="J50" s="3">
        <v>13000</v>
      </c>
      <c r="K50" s="3">
        <v>9000</v>
      </c>
      <c r="L50" s="3">
        <v>9000</v>
      </c>
      <c r="M50" s="3">
        <v>2250</v>
      </c>
      <c r="N50" s="3">
        <v>5000</v>
      </c>
      <c r="O50" s="3">
        <v>1000</v>
      </c>
      <c r="P50" s="3">
        <v>6000</v>
      </c>
      <c r="Q50" s="3">
        <v>7000</v>
      </c>
      <c r="R50" s="3">
        <v>6000</v>
      </c>
      <c r="S50" s="3">
        <v>11000</v>
      </c>
      <c r="T50" s="3">
        <v>15000</v>
      </c>
      <c r="U50" s="3">
        <v>5000</v>
      </c>
    </row>
    <row r="51" spans="1:21" x14ac:dyDescent="0.25">
      <c r="A51" s="9">
        <v>2010</v>
      </c>
      <c r="B51" s="4" t="s">
        <v>25</v>
      </c>
      <c r="C51" s="7">
        <f t="shared" si="2"/>
        <v>2204935</v>
      </c>
      <c r="D51" s="5">
        <f>SUM(D30:D50)</f>
        <v>15010</v>
      </c>
      <c r="E51" s="5">
        <f t="shared" ref="E51" si="3">SUM(E30:E50)</f>
        <v>26500</v>
      </c>
      <c r="F51" s="5">
        <f t="shared" ref="F51" si="4">SUM(F30:F50)</f>
        <v>249000</v>
      </c>
      <c r="G51" s="5">
        <f t="shared" ref="G51" si="5">SUM(G30:G50)</f>
        <v>106150</v>
      </c>
      <c r="H51" s="5">
        <f t="shared" ref="H51" si="6">SUM(H30:H50)</f>
        <v>34700</v>
      </c>
      <c r="I51" s="5">
        <f t="shared" ref="I51" si="7">SUM(I30:I50)</f>
        <v>98550</v>
      </c>
      <c r="J51" s="5">
        <f t="shared" ref="J51" si="8">SUM(J30:J50)</f>
        <v>225750</v>
      </c>
      <c r="K51" s="5">
        <f t="shared" ref="K51" si="9">SUM(K30:K50)</f>
        <v>103350</v>
      </c>
      <c r="L51" s="5">
        <f t="shared" ref="L51" si="10">SUM(L30:L50)</f>
        <v>136250</v>
      </c>
      <c r="M51" s="5">
        <f t="shared" ref="M51" si="11">SUM(M30:M50)</f>
        <v>58700</v>
      </c>
      <c r="N51" s="5">
        <f t="shared" ref="N51" si="12">SUM(N30:N50)</f>
        <v>77225</v>
      </c>
      <c r="O51" s="5">
        <f t="shared" ref="O51" si="13">SUM(O30:O50)</f>
        <v>25050</v>
      </c>
      <c r="P51" s="5">
        <f t="shared" ref="P51" si="14">SUM(P30:P50)</f>
        <v>108250</v>
      </c>
      <c r="Q51" s="5">
        <f t="shared" ref="Q51" si="15">SUM(Q30:Q50)</f>
        <v>168800</v>
      </c>
      <c r="R51" s="5">
        <f t="shared" ref="R51" si="16">SUM(R30:R50)</f>
        <v>132150</v>
      </c>
      <c r="S51" s="5">
        <f t="shared" ref="S51" si="17">SUM(S30:S50)</f>
        <v>222000</v>
      </c>
      <c r="T51" s="5">
        <f t="shared" ref="T51" si="18">SUM(T30:T50)</f>
        <v>321750</v>
      </c>
      <c r="U51" s="5">
        <f t="shared" ref="U51" si="19">SUM(U30:U50)</f>
        <v>95750</v>
      </c>
    </row>
    <row r="52" spans="1:21" x14ac:dyDescent="0.25">
      <c r="A52" s="9">
        <v>2011</v>
      </c>
      <c r="B52" s="10" t="s">
        <v>27</v>
      </c>
      <c r="C52" s="7">
        <f t="shared" si="2"/>
        <v>247000</v>
      </c>
      <c r="D52" s="3">
        <v>6000</v>
      </c>
      <c r="E52" s="3">
        <v>4000</v>
      </c>
      <c r="F52" s="3">
        <v>25000</v>
      </c>
      <c r="G52" s="3">
        <v>12000</v>
      </c>
      <c r="H52" s="3">
        <v>5000</v>
      </c>
      <c r="I52" s="3">
        <v>12000</v>
      </c>
      <c r="J52" s="3">
        <v>26000</v>
      </c>
      <c r="K52" s="3">
        <v>11000</v>
      </c>
      <c r="L52" s="3">
        <v>24000</v>
      </c>
      <c r="M52" s="3">
        <v>9000</v>
      </c>
      <c r="N52" s="3">
        <v>7000</v>
      </c>
      <c r="O52" s="3">
        <v>3000</v>
      </c>
      <c r="P52" s="3">
        <v>16000</v>
      </c>
      <c r="Q52" s="3">
        <v>12000</v>
      </c>
      <c r="R52" s="3">
        <v>11000</v>
      </c>
      <c r="S52" s="3">
        <v>22000</v>
      </c>
      <c r="T52" s="3">
        <v>31000</v>
      </c>
      <c r="U52" s="3">
        <v>11000</v>
      </c>
    </row>
    <row r="53" spans="1:21" x14ac:dyDescent="0.25">
      <c r="A53" s="9">
        <v>2011</v>
      </c>
      <c r="B53" s="10" t="s">
        <v>11</v>
      </c>
      <c r="C53" s="7">
        <f t="shared" si="2"/>
        <v>514000</v>
      </c>
      <c r="D53" s="3">
        <v>1000</v>
      </c>
      <c r="E53" s="3">
        <v>6000</v>
      </c>
      <c r="F53" s="3">
        <v>56000</v>
      </c>
      <c r="G53" s="3">
        <v>27000</v>
      </c>
      <c r="H53" s="3">
        <v>11000</v>
      </c>
      <c r="I53" s="3">
        <v>21000</v>
      </c>
      <c r="J53" s="3">
        <v>55000</v>
      </c>
      <c r="K53" s="3">
        <v>27000</v>
      </c>
      <c r="L53" s="3">
        <v>27000</v>
      </c>
      <c r="M53" s="3">
        <v>13000</v>
      </c>
      <c r="N53" s="3">
        <v>16000</v>
      </c>
      <c r="O53" s="3">
        <v>6000</v>
      </c>
      <c r="P53" s="3">
        <v>24000</v>
      </c>
      <c r="Q53" s="3">
        <v>37000</v>
      </c>
      <c r="R53" s="3">
        <v>30000</v>
      </c>
      <c r="S53" s="3">
        <v>57000</v>
      </c>
      <c r="T53" s="3">
        <v>80000</v>
      </c>
      <c r="U53" s="3">
        <v>20000</v>
      </c>
    </row>
    <row r="54" spans="1:21" x14ac:dyDescent="0.25">
      <c r="A54" s="9">
        <v>2011</v>
      </c>
      <c r="B54" s="10" t="s">
        <v>12</v>
      </c>
      <c r="C54" s="7">
        <f t="shared" si="2"/>
        <v>961750</v>
      </c>
      <c r="D54" s="3">
        <v>1750</v>
      </c>
      <c r="E54" s="3">
        <v>13000</v>
      </c>
      <c r="F54" s="3">
        <v>108000</v>
      </c>
      <c r="G54" s="3">
        <v>42000</v>
      </c>
      <c r="H54" s="3">
        <v>18000</v>
      </c>
      <c r="I54" s="3">
        <v>49000</v>
      </c>
      <c r="J54" s="3">
        <v>89000</v>
      </c>
      <c r="K54" s="3">
        <v>49000</v>
      </c>
      <c r="L54" s="3">
        <v>50000</v>
      </c>
      <c r="M54" s="3">
        <v>28000</v>
      </c>
      <c r="N54" s="3">
        <v>48000</v>
      </c>
      <c r="O54" s="3">
        <v>12000</v>
      </c>
      <c r="P54" s="3">
        <v>64000</v>
      </c>
      <c r="Q54" s="3">
        <v>83000</v>
      </c>
      <c r="R54" s="3">
        <v>51000</v>
      </c>
      <c r="S54" s="3">
        <v>95000</v>
      </c>
      <c r="T54" s="3">
        <v>124000</v>
      </c>
      <c r="U54" s="3">
        <v>37000</v>
      </c>
    </row>
    <row r="55" spans="1:21" x14ac:dyDescent="0.25">
      <c r="A55" s="9">
        <v>2011</v>
      </c>
      <c r="B55" s="10" t="s">
        <v>3</v>
      </c>
      <c r="C55" s="7">
        <f t="shared" si="2"/>
        <v>71125</v>
      </c>
      <c r="D55" s="3">
        <v>225</v>
      </c>
      <c r="E55" s="3">
        <v>500</v>
      </c>
      <c r="F55" s="3">
        <v>10000</v>
      </c>
      <c r="G55" s="3">
        <v>4500</v>
      </c>
      <c r="H55" s="3">
        <v>2000</v>
      </c>
      <c r="I55" s="3">
        <v>2500</v>
      </c>
      <c r="J55" s="3">
        <v>7000</v>
      </c>
      <c r="K55" s="3">
        <v>3500</v>
      </c>
      <c r="L55" s="3">
        <v>4500</v>
      </c>
      <c r="M55" s="3">
        <v>1000</v>
      </c>
      <c r="N55" s="3">
        <v>1500</v>
      </c>
      <c r="O55" s="3">
        <v>900</v>
      </c>
      <c r="P55" s="3">
        <v>3000</v>
      </c>
      <c r="Q55" s="3">
        <v>4000</v>
      </c>
      <c r="R55" s="3">
        <v>4000</v>
      </c>
      <c r="S55" s="3">
        <v>7000</v>
      </c>
      <c r="T55" s="3">
        <v>12000</v>
      </c>
      <c r="U55" s="3">
        <v>3000</v>
      </c>
    </row>
    <row r="56" spans="1:21" x14ac:dyDescent="0.25">
      <c r="A56" s="9">
        <v>2011</v>
      </c>
      <c r="B56" s="10" t="s">
        <v>5</v>
      </c>
      <c r="C56" s="7">
        <f t="shared" si="2"/>
        <v>191750</v>
      </c>
      <c r="D56" s="3">
        <v>250</v>
      </c>
      <c r="E56" s="3">
        <v>2500</v>
      </c>
      <c r="F56" s="3">
        <v>24000</v>
      </c>
      <c r="G56" s="3">
        <v>7000</v>
      </c>
      <c r="H56" s="3">
        <v>3500</v>
      </c>
      <c r="I56" s="3">
        <v>10000</v>
      </c>
      <c r="J56" s="3">
        <v>19000</v>
      </c>
      <c r="K56" s="3">
        <v>8000</v>
      </c>
      <c r="L56" s="3">
        <v>8000</v>
      </c>
      <c r="M56" s="3">
        <v>6000</v>
      </c>
      <c r="N56" s="3">
        <v>7000</v>
      </c>
      <c r="O56" s="3">
        <v>2500</v>
      </c>
      <c r="P56" s="3">
        <v>11000</v>
      </c>
      <c r="Q56" s="3">
        <v>12000</v>
      </c>
      <c r="R56" s="3">
        <v>11000</v>
      </c>
      <c r="S56" s="3">
        <v>23000</v>
      </c>
      <c r="T56" s="3">
        <v>30000</v>
      </c>
      <c r="U56" s="3">
        <v>7000</v>
      </c>
    </row>
    <row r="57" spans="1:21" x14ac:dyDescent="0.25">
      <c r="A57" s="9">
        <v>2011</v>
      </c>
      <c r="B57" s="10" t="s">
        <v>4</v>
      </c>
      <c r="C57" s="7">
        <f t="shared" si="2"/>
        <v>87575</v>
      </c>
      <c r="D57" s="3">
        <v>175</v>
      </c>
      <c r="E57" s="3">
        <v>500</v>
      </c>
      <c r="F57" s="3">
        <v>13000</v>
      </c>
      <c r="G57" s="3">
        <v>4000</v>
      </c>
      <c r="H57" s="3">
        <v>1500</v>
      </c>
      <c r="I57" s="3">
        <v>4500</v>
      </c>
      <c r="J57" s="3">
        <v>7000</v>
      </c>
      <c r="K57" s="3">
        <v>3500</v>
      </c>
      <c r="L57" s="3">
        <v>5000</v>
      </c>
      <c r="M57" s="3">
        <v>2000</v>
      </c>
      <c r="N57" s="3">
        <v>10000</v>
      </c>
      <c r="O57" s="3">
        <v>900</v>
      </c>
      <c r="P57" s="3">
        <v>3500</v>
      </c>
      <c r="Q57" s="3">
        <v>8000</v>
      </c>
      <c r="R57" s="3">
        <v>4000</v>
      </c>
      <c r="S57" s="3">
        <v>8000</v>
      </c>
      <c r="T57" s="3">
        <v>9000</v>
      </c>
      <c r="U57" s="3">
        <v>3000</v>
      </c>
    </row>
    <row r="58" spans="1:21" x14ac:dyDescent="0.25">
      <c r="A58" s="9">
        <v>2011</v>
      </c>
      <c r="B58" s="10" t="s">
        <v>6</v>
      </c>
      <c r="C58" s="7">
        <f t="shared" si="2"/>
        <v>25825</v>
      </c>
      <c r="D58" s="3">
        <v>500</v>
      </c>
      <c r="E58" s="3">
        <v>125</v>
      </c>
      <c r="F58" s="3">
        <v>2500</v>
      </c>
      <c r="G58" s="3">
        <v>1250</v>
      </c>
      <c r="H58" s="3">
        <v>450</v>
      </c>
      <c r="I58" s="3">
        <v>1250</v>
      </c>
      <c r="J58" s="3">
        <v>2500</v>
      </c>
      <c r="K58" s="3">
        <v>700</v>
      </c>
      <c r="L58" s="3">
        <v>2500</v>
      </c>
      <c r="M58" s="3">
        <v>350</v>
      </c>
      <c r="N58" s="3">
        <v>2250</v>
      </c>
      <c r="O58" s="3">
        <v>300</v>
      </c>
      <c r="P58" s="3">
        <v>2250</v>
      </c>
      <c r="Q58" s="3">
        <v>2500</v>
      </c>
      <c r="R58" s="3">
        <v>500</v>
      </c>
      <c r="S58" s="3">
        <v>2500</v>
      </c>
      <c r="T58" s="3">
        <v>2500</v>
      </c>
      <c r="U58" s="3">
        <v>900</v>
      </c>
    </row>
    <row r="59" spans="1:21" x14ac:dyDescent="0.25">
      <c r="A59" s="9">
        <v>2011</v>
      </c>
      <c r="B59" s="10" t="s">
        <v>7</v>
      </c>
      <c r="C59" s="7">
        <f t="shared" si="2"/>
        <v>108700</v>
      </c>
      <c r="D59" s="3">
        <v>350</v>
      </c>
      <c r="E59" s="3">
        <v>1500</v>
      </c>
      <c r="F59" s="3">
        <v>10000</v>
      </c>
      <c r="G59" s="3">
        <v>7000</v>
      </c>
      <c r="H59" s="3">
        <v>3000</v>
      </c>
      <c r="I59" s="3">
        <v>4500</v>
      </c>
      <c r="J59" s="3">
        <v>13000</v>
      </c>
      <c r="K59" s="3">
        <v>8000</v>
      </c>
      <c r="L59" s="3">
        <v>6000</v>
      </c>
      <c r="M59" s="3">
        <v>1500</v>
      </c>
      <c r="N59" s="3">
        <v>2250</v>
      </c>
      <c r="O59" s="3">
        <v>600</v>
      </c>
      <c r="P59" s="3">
        <v>3500</v>
      </c>
      <c r="Q59" s="3">
        <v>8000</v>
      </c>
      <c r="R59" s="3">
        <v>6000</v>
      </c>
      <c r="S59" s="3">
        <v>10000</v>
      </c>
      <c r="T59" s="3">
        <v>19000</v>
      </c>
      <c r="U59" s="3">
        <v>4500</v>
      </c>
    </row>
    <row r="60" spans="1:21" x14ac:dyDescent="0.25">
      <c r="A60" s="9">
        <v>2011</v>
      </c>
      <c r="B60" s="10" t="s">
        <v>26</v>
      </c>
      <c r="C60" s="7">
        <f t="shared" si="2"/>
        <v>113250</v>
      </c>
      <c r="D60" s="3">
        <v>3000</v>
      </c>
      <c r="E60" s="3">
        <v>1500</v>
      </c>
      <c r="F60" s="3">
        <v>14000</v>
      </c>
      <c r="G60" s="3">
        <v>6000</v>
      </c>
      <c r="H60" s="3">
        <v>2500</v>
      </c>
      <c r="I60" s="3">
        <v>4000</v>
      </c>
      <c r="J60" s="3">
        <v>12000</v>
      </c>
      <c r="K60" s="3">
        <v>7000</v>
      </c>
      <c r="L60" s="3">
        <v>8000</v>
      </c>
      <c r="M60" s="3">
        <v>2500</v>
      </c>
      <c r="N60" s="3">
        <v>1250</v>
      </c>
      <c r="O60" s="3">
        <v>1000</v>
      </c>
      <c r="P60" s="3">
        <v>5000</v>
      </c>
      <c r="Q60" s="3">
        <v>4500</v>
      </c>
      <c r="R60" s="3">
        <v>11000</v>
      </c>
      <c r="S60" s="3">
        <v>11000</v>
      </c>
      <c r="T60" s="3">
        <v>15000</v>
      </c>
      <c r="U60" s="3">
        <v>4000</v>
      </c>
    </row>
    <row r="61" spans="1:21" x14ac:dyDescent="0.25">
      <c r="A61" s="9">
        <v>2011</v>
      </c>
      <c r="B61" s="10" t="s">
        <v>8</v>
      </c>
      <c r="C61" s="7">
        <f t="shared" si="2"/>
        <v>37150</v>
      </c>
      <c r="D61" s="3">
        <v>1500</v>
      </c>
      <c r="E61" s="3">
        <v>700</v>
      </c>
      <c r="F61" s="3">
        <v>4000</v>
      </c>
      <c r="G61" s="3">
        <v>2000</v>
      </c>
      <c r="H61" s="3">
        <v>800</v>
      </c>
      <c r="I61" s="3">
        <v>2250</v>
      </c>
      <c r="J61" s="3">
        <v>3500</v>
      </c>
      <c r="K61" s="3">
        <v>1750</v>
      </c>
      <c r="L61" s="3">
        <v>2500</v>
      </c>
      <c r="M61" s="3">
        <v>500</v>
      </c>
      <c r="N61" s="3">
        <v>450</v>
      </c>
      <c r="O61" s="3">
        <v>450</v>
      </c>
      <c r="P61" s="3">
        <v>2500</v>
      </c>
      <c r="Q61" s="3">
        <v>1000</v>
      </c>
      <c r="R61" s="3">
        <v>4000</v>
      </c>
      <c r="S61" s="3">
        <v>2500</v>
      </c>
      <c r="T61" s="3">
        <v>5000</v>
      </c>
      <c r="U61" s="3">
        <v>1750</v>
      </c>
    </row>
    <row r="62" spans="1:21" x14ac:dyDescent="0.25">
      <c r="A62" s="9">
        <v>2011</v>
      </c>
      <c r="B62" s="10" t="s">
        <v>9</v>
      </c>
      <c r="C62" s="7">
        <f t="shared" si="2"/>
        <v>73750</v>
      </c>
      <c r="D62" s="3">
        <v>1250</v>
      </c>
      <c r="E62" s="3">
        <v>450</v>
      </c>
      <c r="F62" s="3">
        <v>4000</v>
      </c>
      <c r="G62" s="3">
        <v>2500</v>
      </c>
      <c r="H62" s="3">
        <v>1750</v>
      </c>
      <c r="I62" s="3">
        <v>4500</v>
      </c>
      <c r="J62" s="3">
        <v>8000</v>
      </c>
      <c r="K62" s="3">
        <v>3000</v>
      </c>
      <c r="L62" s="3">
        <v>7000</v>
      </c>
      <c r="M62" s="3">
        <v>7000</v>
      </c>
      <c r="N62" s="3">
        <v>3000</v>
      </c>
      <c r="O62" s="3">
        <v>800</v>
      </c>
      <c r="P62" s="3">
        <v>6000</v>
      </c>
      <c r="Q62" s="3">
        <v>2500</v>
      </c>
      <c r="R62" s="3">
        <v>2500</v>
      </c>
      <c r="S62" s="3">
        <v>6000</v>
      </c>
      <c r="T62" s="3">
        <v>10000</v>
      </c>
      <c r="U62" s="3">
        <v>3500</v>
      </c>
    </row>
    <row r="63" spans="1:21" x14ac:dyDescent="0.25">
      <c r="A63" s="9">
        <v>2011</v>
      </c>
      <c r="B63" s="10" t="s">
        <v>10</v>
      </c>
      <c r="C63" s="7">
        <f t="shared" si="2"/>
        <v>111905</v>
      </c>
      <c r="D63" s="3">
        <v>5</v>
      </c>
      <c r="E63" s="3">
        <v>1000</v>
      </c>
      <c r="F63" s="3">
        <v>17000</v>
      </c>
      <c r="G63" s="3">
        <v>5000</v>
      </c>
      <c r="H63" s="3">
        <v>2250</v>
      </c>
      <c r="I63" s="3">
        <v>5000</v>
      </c>
      <c r="J63" s="3">
        <v>13000</v>
      </c>
      <c r="K63" s="3">
        <v>5000</v>
      </c>
      <c r="L63" s="3">
        <v>5000</v>
      </c>
      <c r="M63" s="3">
        <v>2000</v>
      </c>
      <c r="N63" s="3">
        <v>1250</v>
      </c>
      <c r="O63" s="3">
        <v>900</v>
      </c>
      <c r="P63" s="3">
        <v>4000</v>
      </c>
      <c r="Q63" s="3">
        <v>12000</v>
      </c>
      <c r="R63" s="3">
        <v>8000</v>
      </c>
      <c r="S63" s="3">
        <v>11000</v>
      </c>
      <c r="T63" s="3">
        <v>16000</v>
      </c>
      <c r="U63" s="3">
        <v>3500</v>
      </c>
    </row>
    <row r="64" spans="1:21" x14ac:dyDescent="0.25">
      <c r="A64" s="9">
        <v>2011</v>
      </c>
      <c r="B64" s="10" t="s">
        <v>13</v>
      </c>
      <c r="C64" s="7">
        <f t="shared" si="2"/>
        <v>149300</v>
      </c>
      <c r="D64" s="3">
        <v>300</v>
      </c>
      <c r="E64" s="3">
        <v>1250</v>
      </c>
      <c r="F64" s="3">
        <v>26000</v>
      </c>
      <c r="G64" s="3">
        <v>7000</v>
      </c>
      <c r="H64" s="3">
        <v>3500</v>
      </c>
      <c r="I64" s="3">
        <v>10000</v>
      </c>
      <c r="J64" s="3">
        <v>16000</v>
      </c>
      <c r="K64" s="3">
        <v>7000</v>
      </c>
      <c r="L64" s="3">
        <v>7000</v>
      </c>
      <c r="M64" s="3">
        <v>2250</v>
      </c>
      <c r="N64" s="3">
        <v>2500</v>
      </c>
      <c r="O64" s="3">
        <v>1500</v>
      </c>
      <c r="P64" s="3">
        <v>7000</v>
      </c>
      <c r="Q64" s="3">
        <v>9000</v>
      </c>
      <c r="R64" s="3">
        <v>7000</v>
      </c>
      <c r="S64" s="3">
        <v>17000</v>
      </c>
      <c r="T64" s="3">
        <v>20000</v>
      </c>
      <c r="U64" s="3">
        <v>5000</v>
      </c>
    </row>
    <row r="65" spans="1:21" x14ac:dyDescent="0.25">
      <c r="A65" s="9">
        <v>2011</v>
      </c>
      <c r="B65" s="10" t="s">
        <v>14</v>
      </c>
      <c r="C65" s="7">
        <f t="shared" si="2"/>
        <v>397600</v>
      </c>
      <c r="D65" s="3">
        <v>600</v>
      </c>
      <c r="E65" s="3">
        <v>6000</v>
      </c>
      <c r="F65" s="3">
        <v>29000</v>
      </c>
      <c r="G65" s="3">
        <v>18000</v>
      </c>
      <c r="H65" s="3">
        <v>6000</v>
      </c>
      <c r="I65" s="3">
        <v>16000</v>
      </c>
      <c r="J65" s="3">
        <v>33000</v>
      </c>
      <c r="K65" s="3">
        <v>16000</v>
      </c>
      <c r="L65" s="3">
        <v>23000</v>
      </c>
      <c r="M65" s="3">
        <v>16000</v>
      </c>
      <c r="N65" s="3">
        <v>26000</v>
      </c>
      <c r="O65" s="3">
        <v>5000</v>
      </c>
      <c r="P65" s="3">
        <v>38000</v>
      </c>
      <c r="Q65" s="3">
        <v>44000</v>
      </c>
      <c r="R65" s="3">
        <v>20000</v>
      </c>
      <c r="S65" s="3">
        <v>37000</v>
      </c>
      <c r="T65" s="3">
        <v>47000</v>
      </c>
      <c r="U65" s="3">
        <v>17000</v>
      </c>
    </row>
    <row r="66" spans="1:21" x14ac:dyDescent="0.25">
      <c r="A66" s="9">
        <v>2011</v>
      </c>
      <c r="B66" s="10" t="s">
        <v>15</v>
      </c>
      <c r="C66" s="7">
        <f t="shared" si="2"/>
        <v>67075</v>
      </c>
      <c r="D66" s="3">
        <v>125</v>
      </c>
      <c r="E66" s="3">
        <v>700</v>
      </c>
      <c r="F66" s="3">
        <v>9000</v>
      </c>
      <c r="G66" s="3">
        <v>2500</v>
      </c>
      <c r="H66" s="3">
        <v>1750</v>
      </c>
      <c r="I66" s="3">
        <v>2500</v>
      </c>
      <c r="J66" s="3">
        <v>8000</v>
      </c>
      <c r="K66" s="3">
        <v>6000</v>
      </c>
      <c r="L66" s="3">
        <v>3500</v>
      </c>
      <c r="M66" s="3">
        <v>700</v>
      </c>
      <c r="N66" s="3">
        <v>700</v>
      </c>
      <c r="O66" s="3">
        <v>600</v>
      </c>
      <c r="P66" s="3">
        <v>3000</v>
      </c>
      <c r="Q66" s="3">
        <v>5000</v>
      </c>
      <c r="R66" s="3">
        <v>2500</v>
      </c>
      <c r="S66" s="3">
        <v>7000</v>
      </c>
      <c r="T66" s="3">
        <v>11000</v>
      </c>
      <c r="U66" s="3">
        <v>2500</v>
      </c>
    </row>
    <row r="67" spans="1:21" x14ac:dyDescent="0.25">
      <c r="A67" s="9">
        <v>2011</v>
      </c>
      <c r="B67" s="10" t="s">
        <v>16</v>
      </c>
      <c r="C67" s="7">
        <f t="shared" si="2"/>
        <v>67550</v>
      </c>
      <c r="D67" s="3">
        <v>700</v>
      </c>
      <c r="E67" s="3">
        <v>1500</v>
      </c>
      <c r="F67" s="3">
        <v>14000</v>
      </c>
      <c r="G67" s="3">
        <v>5000</v>
      </c>
      <c r="H67" s="3">
        <v>1750</v>
      </c>
      <c r="I67" s="3">
        <v>3000</v>
      </c>
      <c r="J67" s="3">
        <v>7000</v>
      </c>
      <c r="K67" s="3">
        <v>6000</v>
      </c>
      <c r="L67" s="3">
        <v>3500</v>
      </c>
      <c r="M67" s="3">
        <v>450</v>
      </c>
      <c r="N67" s="3">
        <v>800</v>
      </c>
      <c r="O67" s="3">
        <v>600</v>
      </c>
      <c r="P67" s="3">
        <v>2000</v>
      </c>
      <c r="Q67" s="3">
        <v>4000</v>
      </c>
      <c r="R67" s="3">
        <v>2500</v>
      </c>
      <c r="S67" s="3">
        <v>5000</v>
      </c>
      <c r="T67" s="3">
        <v>8000</v>
      </c>
      <c r="U67" s="3">
        <v>1750</v>
      </c>
    </row>
    <row r="68" spans="1:21" x14ac:dyDescent="0.25">
      <c r="A68" s="9">
        <v>2011</v>
      </c>
      <c r="B68" s="10" t="s">
        <v>24</v>
      </c>
      <c r="C68" s="7">
        <f t="shared" si="2"/>
        <v>15550</v>
      </c>
      <c r="D68" s="3">
        <v>700</v>
      </c>
      <c r="E68" s="3">
        <v>250</v>
      </c>
      <c r="F68" s="3">
        <v>1000</v>
      </c>
      <c r="G68" s="3">
        <v>900</v>
      </c>
      <c r="H68" s="3">
        <v>350</v>
      </c>
      <c r="I68" s="3">
        <v>700</v>
      </c>
      <c r="J68" s="3">
        <v>1500</v>
      </c>
      <c r="K68" s="3">
        <v>600</v>
      </c>
      <c r="L68" s="3">
        <v>2000</v>
      </c>
      <c r="M68" s="3">
        <v>150</v>
      </c>
      <c r="N68" s="3">
        <v>150</v>
      </c>
      <c r="O68" s="3">
        <v>300</v>
      </c>
      <c r="P68" s="3">
        <v>700</v>
      </c>
      <c r="Q68" s="3">
        <v>1250</v>
      </c>
      <c r="R68" s="3">
        <v>1000</v>
      </c>
      <c r="S68" s="3">
        <v>1500</v>
      </c>
      <c r="T68" s="3">
        <v>1500</v>
      </c>
      <c r="U68" s="3">
        <v>1000</v>
      </c>
    </row>
    <row r="69" spans="1:21" x14ac:dyDescent="0.25">
      <c r="A69" s="9">
        <v>2011</v>
      </c>
      <c r="B69" s="10" t="s">
        <v>17</v>
      </c>
      <c r="C69" s="7">
        <f t="shared" si="2"/>
        <v>94425</v>
      </c>
      <c r="D69" s="3">
        <v>175</v>
      </c>
      <c r="E69" s="3">
        <v>2250</v>
      </c>
      <c r="F69" s="3">
        <v>13000</v>
      </c>
      <c r="G69" s="3">
        <v>6000</v>
      </c>
      <c r="H69" s="3">
        <v>1750</v>
      </c>
      <c r="I69" s="3">
        <v>3500</v>
      </c>
      <c r="J69" s="3">
        <v>9000</v>
      </c>
      <c r="K69" s="3">
        <v>6000</v>
      </c>
      <c r="L69" s="3">
        <v>5000</v>
      </c>
      <c r="M69" s="3">
        <v>1750</v>
      </c>
      <c r="N69" s="3">
        <v>1500</v>
      </c>
      <c r="O69" s="3">
        <v>1000</v>
      </c>
      <c r="P69" s="3">
        <v>3500</v>
      </c>
      <c r="Q69" s="3">
        <v>9000</v>
      </c>
      <c r="R69" s="3">
        <v>7000</v>
      </c>
      <c r="S69" s="3">
        <v>9000</v>
      </c>
      <c r="T69" s="3">
        <v>12000</v>
      </c>
      <c r="U69" s="3">
        <v>3000</v>
      </c>
    </row>
    <row r="70" spans="1:21" x14ac:dyDescent="0.25">
      <c r="A70" s="9">
        <v>2011</v>
      </c>
      <c r="B70" s="10" t="s">
        <v>18</v>
      </c>
      <c r="C70" s="7">
        <f t="shared" si="2"/>
        <v>20775</v>
      </c>
      <c r="D70" s="3">
        <v>1000</v>
      </c>
      <c r="E70" s="3">
        <v>175</v>
      </c>
      <c r="F70" s="3">
        <v>3000</v>
      </c>
      <c r="G70" s="3">
        <v>1250</v>
      </c>
      <c r="H70" s="3">
        <v>700</v>
      </c>
      <c r="I70" s="3">
        <v>1000</v>
      </c>
      <c r="J70" s="3">
        <v>2000</v>
      </c>
      <c r="K70" s="3">
        <v>900</v>
      </c>
      <c r="L70" s="3">
        <v>1750</v>
      </c>
      <c r="M70" s="3">
        <v>200</v>
      </c>
      <c r="N70" s="3">
        <v>200</v>
      </c>
      <c r="O70" s="3">
        <v>350</v>
      </c>
      <c r="P70" s="3">
        <v>1750</v>
      </c>
      <c r="Q70" s="3">
        <v>900</v>
      </c>
      <c r="R70" s="3">
        <v>600</v>
      </c>
      <c r="S70" s="3">
        <v>1750</v>
      </c>
      <c r="T70" s="3">
        <v>1500</v>
      </c>
      <c r="U70" s="3">
        <v>1750</v>
      </c>
    </row>
    <row r="71" spans="1:21" x14ac:dyDescent="0.25">
      <c r="A71" s="9">
        <v>2011</v>
      </c>
      <c r="B71" s="10" t="s">
        <v>19</v>
      </c>
      <c r="C71" s="7">
        <f t="shared" si="2"/>
        <v>39250</v>
      </c>
      <c r="D71" s="3">
        <v>450</v>
      </c>
      <c r="E71" s="3">
        <v>200</v>
      </c>
      <c r="F71" s="3">
        <v>4500</v>
      </c>
      <c r="G71" s="3">
        <v>1500</v>
      </c>
      <c r="H71" s="3">
        <v>600</v>
      </c>
      <c r="I71" s="3">
        <v>800</v>
      </c>
      <c r="J71" s="3">
        <v>5000</v>
      </c>
      <c r="K71" s="3">
        <v>1500</v>
      </c>
      <c r="L71" s="3">
        <v>6000</v>
      </c>
      <c r="M71" s="3">
        <v>350</v>
      </c>
      <c r="N71" s="3">
        <v>500</v>
      </c>
      <c r="O71" s="3">
        <v>600</v>
      </c>
      <c r="P71" s="3">
        <v>1250</v>
      </c>
      <c r="Q71" s="3">
        <v>1250</v>
      </c>
      <c r="R71" s="3">
        <v>1250</v>
      </c>
      <c r="S71" s="3">
        <v>3500</v>
      </c>
      <c r="T71" s="3">
        <v>8000</v>
      </c>
      <c r="U71" s="3">
        <v>2000</v>
      </c>
    </row>
    <row r="72" spans="1:21" x14ac:dyDescent="0.25">
      <c r="A72" s="9">
        <v>2011</v>
      </c>
      <c r="B72" s="10" t="s">
        <v>20</v>
      </c>
      <c r="C72" s="7">
        <f t="shared" si="2"/>
        <v>29550</v>
      </c>
      <c r="D72" s="3">
        <v>800</v>
      </c>
      <c r="E72" s="3">
        <v>1750</v>
      </c>
      <c r="F72" s="3">
        <v>5000</v>
      </c>
      <c r="G72" s="3">
        <v>2000</v>
      </c>
      <c r="H72" s="3">
        <v>600</v>
      </c>
      <c r="I72" s="3">
        <v>1500</v>
      </c>
      <c r="J72" s="3">
        <v>2250</v>
      </c>
      <c r="K72" s="3">
        <v>2500</v>
      </c>
      <c r="L72" s="3">
        <v>2000</v>
      </c>
      <c r="M72" s="3">
        <v>225</v>
      </c>
      <c r="N72" s="3">
        <v>250</v>
      </c>
      <c r="O72" s="3">
        <v>175</v>
      </c>
      <c r="P72" s="3">
        <v>2250</v>
      </c>
      <c r="Q72" s="3">
        <v>2000</v>
      </c>
      <c r="R72" s="3">
        <v>700</v>
      </c>
      <c r="S72" s="3">
        <v>2500</v>
      </c>
      <c r="T72" s="3">
        <v>2250</v>
      </c>
      <c r="U72" s="3">
        <v>800</v>
      </c>
    </row>
    <row r="73" spans="1:21" x14ac:dyDescent="0.25">
      <c r="A73" s="9">
        <v>2011</v>
      </c>
      <c r="B73" s="10" t="s">
        <v>21</v>
      </c>
      <c r="C73" s="7">
        <f t="shared" si="2"/>
        <v>236475</v>
      </c>
      <c r="D73" s="3">
        <v>225</v>
      </c>
      <c r="E73" s="3">
        <v>1750</v>
      </c>
      <c r="F73" s="3">
        <v>23000</v>
      </c>
      <c r="G73" s="3">
        <v>10000</v>
      </c>
      <c r="H73" s="3">
        <v>4000</v>
      </c>
      <c r="I73" s="3">
        <v>10000</v>
      </c>
      <c r="J73" s="3">
        <v>25000</v>
      </c>
      <c r="K73" s="3">
        <v>10000</v>
      </c>
      <c r="L73" s="3">
        <v>12000</v>
      </c>
      <c r="M73" s="3">
        <v>8000</v>
      </c>
      <c r="N73" s="3">
        <v>10000</v>
      </c>
      <c r="O73" s="3">
        <v>3500</v>
      </c>
      <c r="P73" s="3">
        <v>13000</v>
      </c>
      <c r="Q73" s="3">
        <v>16000</v>
      </c>
      <c r="R73" s="3">
        <v>14000</v>
      </c>
      <c r="S73" s="3">
        <v>30000</v>
      </c>
      <c r="T73" s="3">
        <v>37000</v>
      </c>
      <c r="U73" s="3">
        <v>9000</v>
      </c>
    </row>
    <row r="74" spans="1:21" x14ac:dyDescent="0.25">
      <c r="A74" s="9">
        <v>2011</v>
      </c>
      <c r="B74" s="10" t="s">
        <v>22</v>
      </c>
      <c r="C74" s="7">
        <f t="shared" si="2"/>
        <v>136800</v>
      </c>
      <c r="D74" s="3">
        <v>300</v>
      </c>
      <c r="E74" s="3">
        <v>2250</v>
      </c>
      <c r="F74" s="3">
        <v>15000</v>
      </c>
      <c r="G74" s="3">
        <v>7000</v>
      </c>
      <c r="H74" s="3">
        <v>3500</v>
      </c>
      <c r="I74" s="3">
        <v>8000</v>
      </c>
      <c r="J74" s="3">
        <v>14000</v>
      </c>
      <c r="K74" s="3">
        <v>14000</v>
      </c>
      <c r="L74" s="3">
        <v>7000</v>
      </c>
      <c r="M74" s="3">
        <v>2250</v>
      </c>
      <c r="N74" s="3">
        <v>2250</v>
      </c>
      <c r="O74" s="3">
        <v>1750</v>
      </c>
      <c r="P74" s="3">
        <v>5000</v>
      </c>
      <c r="Q74" s="3">
        <v>10000</v>
      </c>
      <c r="R74" s="3">
        <v>10000</v>
      </c>
      <c r="S74" s="3">
        <v>11000</v>
      </c>
      <c r="T74" s="3">
        <v>19000</v>
      </c>
      <c r="U74" s="3">
        <v>4500</v>
      </c>
    </row>
    <row r="75" spans="1:21" x14ac:dyDescent="0.25">
      <c r="A75" s="9">
        <v>2011</v>
      </c>
      <c r="B75" s="10" t="s">
        <v>23</v>
      </c>
      <c r="C75" s="7">
        <f t="shared" si="2"/>
        <v>103650</v>
      </c>
      <c r="D75" s="3">
        <v>200</v>
      </c>
      <c r="E75" s="3">
        <v>450</v>
      </c>
      <c r="F75" s="3">
        <v>4000</v>
      </c>
      <c r="G75" s="3">
        <v>4000</v>
      </c>
      <c r="H75" s="3">
        <v>1500</v>
      </c>
      <c r="I75" s="3">
        <v>2250</v>
      </c>
      <c r="J75" s="3">
        <v>13000</v>
      </c>
      <c r="K75" s="3">
        <v>12000</v>
      </c>
      <c r="L75" s="3">
        <v>9000</v>
      </c>
      <c r="M75" s="3">
        <v>2250</v>
      </c>
      <c r="N75" s="3">
        <v>5000</v>
      </c>
      <c r="O75" s="3">
        <v>1000</v>
      </c>
      <c r="P75" s="3">
        <v>7000</v>
      </c>
      <c r="Q75" s="3">
        <v>6000</v>
      </c>
      <c r="R75" s="3">
        <v>5000</v>
      </c>
      <c r="S75" s="3">
        <v>12000</v>
      </c>
      <c r="T75" s="3">
        <v>14000</v>
      </c>
      <c r="U75" s="3">
        <v>5000</v>
      </c>
    </row>
    <row r="76" spans="1:21" x14ac:dyDescent="0.25">
      <c r="A76" s="9">
        <v>2011</v>
      </c>
      <c r="B76" s="4" t="s">
        <v>25</v>
      </c>
      <c r="C76" s="7">
        <f t="shared" si="2"/>
        <v>2179030</v>
      </c>
      <c r="D76" s="5">
        <f>SUM(D55:D75)</f>
        <v>12830</v>
      </c>
      <c r="E76" s="5">
        <f t="shared" ref="E76" si="20">SUM(E55:E75)</f>
        <v>27300</v>
      </c>
      <c r="F76" s="5">
        <f t="shared" ref="F76" si="21">SUM(F55:F75)</f>
        <v>245000</v>
      </c>
      <c r="G76" s="5">
        <f t="shared" ref="G76" si="22">SUM(G55:G75)</f>
        <v>104400</v>
      </c>
      <c r="H76" s="5">
        <f t="shared" ref="H76" si="23">SUM(H55:H75)</f>
        <v>43750</v>
      </c>
      <c r="I76" s="5">
        <f t="shared" ref="I76" si="24">SUM(I55:I75)</f>
        <v>97750</v>
      </c>
      <c r="J76" s="5">
        <f t="shared" ref="J76" si="25">SUM(J55:J75)</f>
        <v>220750</v>
      </c>
      <c r="K76" s="5">
        <f t="shared" ref="K76" si="26">SUM(K55:K75)</f>
        <v>122950</v>
      </c>
      <c r="L76" s="5">
        <f t="shared" ref="L76" si="27">SUM(L55:L75)</f>
        <v>130250</v>
      </c>
      <c r="M76" s="5">
        <f t="shared" ref="M76" si="28">SUM(M55:M75)</f>
        <v>57425</v>
      </c>
      <c r="N76" s="5">
        <f t="shared" ref="N76" si="29">SUM(N55:N75)</f>
        <v>78800</v>
      </c>
      <c r="O76" s="5">
        <f t="shared" ref="O76" si="30">SUM(O55:O75)</f>
        <v>24725</v>
      </c>
      <c r="P76" s="5">
        <f t="shared" ref="P76" si="31">SUM(P55:P75)</f>
        <v>125200</v>
      </c>
      <c r="Q76" s="5">
        <f t="shared" ref="Q76" si="32">SUM(Q55:Q75)</f>
        <v>162900</v>
      </c>
      <c r="R76" s="5">
        <f t="shared" ref="R76" si="33">SUM(R55:R75)</f>
        <v>122550</v>
      </c>
      <c r="S76" s="5">
        <f t="shared" ref="S76" si="34">SUM(S55:S75)</f>
        <v>218250</v>
      </c>
      <c r="T76" s="5">
        <f t="shared" ref="T76" si="35">SUM(T55:T75)</f>
        <v>299750</v>
      </c>
      <c r="U76" s="5">
        <f t="shared" ref="U76" si="36">SUM(U55:U75)</f>
        <v>84450</v>
      </c>
    </row>
    <row r="77" spans="1:21" x14ac:dyDescent="0.25">
      <c r="A77" s="9">
        <v>2012</v>
      </c>
      <c r="B77" s="10" t="s">
        <v>27</v>
      </c>
      <c r="C77" s="7">
        <f t="shared" si="2"/>
        <v>247500</v>
      </c>
      <c r="D77" s="3">
        <v>7000</v>
      </c>
      <c r="E77" s="3">
        <v>3000</v>
      </c>
      <c r="F77" s="3">
        <v>28000</v>
      </c>
      <c r="G77" s="3">
        <v>12000</v>
      </c>
      <c r="H77" s="3">
        <v>4500</v>
      </c>
      <c r="I77" s="3">
        <v>11000</v>
      </c>
      <c r="J77" s="3">
        <v>23000</v>
      </c>
      <c r="K77" s="3">
        <v>10000</v>
      </c>
      <c r="L77" s="3">
        <v>25000</v>
      </c>
      <c r="M77" s="3">
        <v>9000</v>
      </c>
      <c r="N77" s="3">
        <v>6000</v>
      </c>
      <c r="O77" s="3">
        <v>3000</v>
      </c>
      <c r="P77" s="3">
        <v>14000</v>
      </c>
      <c r="Q77" s="3">
        <v>13000</v>
      </c>
      <c r="R77" s="3">
        <v>10000</v>
      </c>
      <c r="S77" s="3">
        <v>25000</v>
      </c>
      <c r="T77" s="3">
        <v>31000</v>
      </c>
      <c r="U77" s="3">
        <v>13000</v>
      </c>
    </row>
    <row r="78" spans="1:21" x14ac:dyDescent="0.25">
      <c r="A78" s="9">
        <v>2012</v>
      </c>
      <c r="B78" s="10" t="s">
        <v>11</v>
      </c>
      <c r="C78" s="7">
        <f t="shared" si="2"/>
        <v>510250</v>
      </c>
      <c r="D78" s="3">
        <v>1250</v>
      </c>
      <c r="E78" s="3">
        <v>6000</v>
      </c>
      <c r="F78" s="3">
        <v>57000</v>
      </c>
      <c r="G78" s="3">
        <v>25000</v>
      </c>
      <c r="H78" s="3">
        <v>10000</v>
      </c>
      <c r="I78" s="3">
        <v>19000</v>
      </c>
      <c r="J78" s="3">
        <v>53000</v>
      </c>
      <c r="K78" s="3">
        <v>25000</v>
      </c>
      <c r="L78" s="3">
        <v>26000</v>
      </c>
      <c r="M78" s="3">
        <v>14000</v>
      </c>
      <c r="N78" s="3">
        <v>14000</v>
      </c>
      <c r="O78" s="3">
        <v>5000</v>
      </c>
      <c r="P78" s="3">
        <v>24000</v>
      </c>
      <c r="Q78" s="3">
        <v>35000</v>
      </c>
      <c r="R78" s="3">
        <v>30000</v>
      </c>
      <c r="S78" s="3">
        <v>59000</v>
      </c>
      <c r="T78" s="3">
        <v>85000</v>
      </c>
      <c r="U78" s="3">
        <v>22000</v>
      </c>
    </row>
    <row r="79" spans="1:21" x14ac:dyDescent="0.25">
      <c r="A79" s="9">
        <v>2012</v>
      </c>
      <c r="B79" s="10" t="s">
        <v>12</v>
      </c>
      <c r="C79" s="7">
        <f t="shared" si="2"/>
        <v>950000</v>
      </c>
      <c r="D79" s="3">
        <v>2000</v>
      </c>
      <c r="E79" s="3">
        <v>14000</v>
      </c>
      <c r="F79" s="3">
        <v>107000</v>
      </c>
      <c r="G79" s="3">
        <v>42000</v>
      </c>
      <c r="H79" s="3">
        <v>15000</v>
      </c>
      <c r="I79" s="3">
        <v>46000</v>
      </c>
      <c r="J79" s="3">
        <v>83000</v>
      </c>
      <c r="K79" s="3">
        <v>42000</v>
      </c>
      <c r="L79" s="3">
        <v>48000</v>
      </c>
      <c r="M79" s="3">
        <v>29000</v>
      </c>
      <c r="N79" s="3">
        <v>44000</v>
      </c>
      <c r="O79" s="3">
        <v>12000</v>
      </c>
      <c r="P79" s="3">
        <v>69000</v>
      </c>
      <c r="Q79" s="3">
        <v>83000</v>
      </c>
      <c r="R79" s="3">
        <v>47000</v>
      </c>
      <c r="S79" s="3">
        <v>99000</v>
      </c>
      <c r="T79" s="3">
        <v>129000</v>
      </c>
      <c r="U79" s="3">
        <v>39000</v>
      </c>
    </row>
    <row r="80" spans="1:21" x14ac:dyDescent="0.25">
      <c r="A80" s="9">
        <v>2012</v>
      </c>
      <c r="B80" s="10" t="s">
        <v>3</v>
      </c>
      <c r="C80" s="7">
        <f t="shared" si="2"/>
        <v>70550</v>
      </c>
      <c r="D80" s="3">
        <v>250</v>
      </c>
      <c r="E80" s="3">
        <v>400</v>
      </c>
      <c r="F80" s="3">
        <v>11000</v>
      </c>
      <c r="G80" s="3">
        <v>4500</v>
      </c>
      <c r="H80" s="3">
        <v>2000</v>
      </c>
      <c r="I80" s="3">
        <v>2000</v>
      </c>
      <c r="J80" s="3">
        <v>7000</v>
      </c>
      <c r="K80" s="3">
        <v>3000</v>
      </c>
      <c r="L80" s="3">
        <v>4500</v>
      </c>
      <c r="M80" s="3">
        <v>1250</v>
      </c>
      <c r="N80" s="3">
        <v>1250</v>
      </c>
      <c r="O80" s="3">
        <v>900</v>
      </c>
      <c r="P80" s="3">
        <v>2500</v>
      </c>
      <c r="Q80" s="3">
        <v>3000</v>
      </c>
      <c r="R80" s="3">
        <v>3500</v>
      </c>
      <c r="S80" s="3">
        <v>7000</v>
      </c>
      <c r="T80" s="3">
        <v>13000</v>
      </c>
      <c r="U80" s="3">
        <v>3500</v>
      </c>
    </row>
    <row r="81" spans="1:21" x14ac:dyDescent="0.25">
      <c r="A81" s="9">
        <v>2012</v>
      </c>
      <c r="B81" s="10" t="s">
        <v>5</v>
      </c>
      <c r="C81" s="7">
        <f t="shared" si="2"/>
        <v>185350</v>
      </c>
      <c r="D81" s="3">
        <v>350</v>
      </c>
      <c r="E81" s="3">
        <v>2500</v>
      </c>
      <c r="F81" s="3">
        <v>24000</v>
      </c>
      <c r="G81" s="3">
        <v>6000</v>
      </c>
      <c r="H81" s="3">
        <v>3000</v>
      </c>
      <c r="I81" s="3">
        <v>9000</v>
      </c>
      <c r="J81" s="3">
        <v>17000</v>
      </c>
      <c r="K81" s="3">
        <v>7000</v>
      </c>
      <c r="L81" s="3">
        <v>8000</v>
      </c>
      <c r="M81" s="3">
        <v>6000</v>
      </c>
      <c r="N81" s="3">
        <v>7000</v>
      </c>
      <c r="O81" s="3">
        <v>2500</v>
      </c>
      <c r="P81" s="3">
        <v>12000</v>
      </c>
      <c r="Q81" s="3">
        <v>11000</v>
      </c>
      <c r="R81" s="3">
        <v>10000</v>
      </c>
      <c r="S81" s="3">
        <v>23000</v>
      </c>
      <c r="T81" s="3">
        <v>30000</v>
      </c>
      <c r="U81" s="3">
        <v>7000</v>
      </c>
    </row>
    <row r="82" spans="1:21" x14ac:dyDescent="0.25">
      <c r="A82" s="9">
        <v>2012</v>
      </c>
      <c r="B82" s="10" t="s">
        <v>4</v>
      </c>
      <c r="C82" s="7">
        <f t="shared" si="2"/>
        <v>83100</v>
      </c>
      <c r="D82" s="3">
        <v>200</v>
      </c>
      <c r="E82" s="3">
        <v>500</v>
      </c>
      <c r="F82" s="3">
        <v>13000</v>
      </c>
      <c r="G82" s="3">
        <v>4000</v>
      </c>
      <c r="H82" s="3">
        <v>1250</v>
      </c>
      <c r="I82" s="3">
        <v>3500</v>
      </c>
      <c r="J82" s="3">
        <v>6000</v>
      </c>
      <c r="K82" s="3">
        <v>2500</v>
      </c>
      <c r="L82" s="3">
        <v>4500</v>
      </c>
      <c r="M82" s="3">
        <v>1750</v>
      </c>
      <c r="N82" s="3">
        <v>8000</v>
      </c>
      <c r="O82" s="3">
        <v>900</v>
      </c>
      <c r="P82" s="3">
        <v>3000</v>
      </c>
      <c r="Q82" s="3">
        <v>10000</v>
      </c>
      <c r="R82" s="3">
        <v>3500</v>
      </c>
      <c r="S82" s="3">
        <v>7000</v>
      </c>
      <c r="T82" s="3">
        <v>10000</v>
      </c>
      <c r="U82" s="3">
        <v>3500</v>
      </c>
    </row>
    <row r="83" spans="1:21" x14ac:dyDescent="0.25">
      <c r="A83" s="9">
        <v>2012</v>
      </c>
      <c r="B83" s="10" t="s">
        <v>6</v>
      </c>
      <c r="C83" s="7">
        <f t="shared" si="2"/>
        <v>26400</v>
      </c>
      <c r="D83" s="3">
        <v>600</v>
      </c>
      <c r="E83" s="3">
        <v>100</v>
      </c>
      <c r="F83" s="3">
        <v>3000</v>
      </c>
      <c r="G83" s="3">
        <v>1500</v>
      </c>
      <c r="H83" s="3">
        <v>400</v>
      </c>
      <c r="I83" s="3">
        <v>1250</v>
      </c>
      <c r="J83" s="3">
        <v>2000</v>
      </c>
      <c r="K83" s="3">
        <v>600</v>
      </c>
      <c r="L83" s="3">
        <v>2500</v>
      </c>
      <c r="M83" s="3">
        <v>450</v>
      </c>
      <c r="N83" s="3">
        <v>2250</v>
      </c>
      <c r="O83" s="3">
        <v>250</v>
      </c>
      <c r="P83" s="3">
        <v>2250</v>
      </c>
      <c r="Q83" s="3">
        <v>2500</v>
      </c>
      <c r="R83" s="3">
        <v>500</v>
      </c>
      <c r="S83" s="3">
        <v>3000</v>
      </c>
      <c r="T83" s="3">
        <v>2250</v>
      </c>
      <c r="U83" s="3">
        <v>1000</v>
      </c>
    </row>
    <row r="84" spans="1:21" x14ac:dyDescent="0.25">
      <c r="A84" s="9">
        <v>2012</v>
      </c>
      <c r="B84" s="10" t="s">
        <v>7</v>
      </c>
      <c r="C84" s="7">
        <f t="shared" si="2"/>
        <v>106550</v>
      </c>
      <c r="D84" s="3">
        <v>450</v>
      </c>
      <c r="E84" s="3">
        <v>1500</v>
      </c>
      <c r="F84" s="3">
        <v>9000</v>
      </c>
      <c r="G84" s="3">
        <v>6000</v>
      </c>
      <c r="H84" s="3">
        <v>2500</v>
      </c>
      <c r="I84" s="3">
        <v>4000</v>
      </c>
      <c r="J84" s="3">
        <v>12000</v>
      </c>
      <c r="K84" s="3">
        <v>8000</v>
      </c>
      <c r="L84" s="3">
        <v>5000</v>
      </c>
      <c r="M84" s="3">
        <v>1500</v>
      </c>
      <c r="N84" s="3">
        <v>2000</v>
      </c>
      <c r="O84" s="3">
        <v>600</v>
      </c>
      <c r="P84" s="3">
        <v>4000</v>
      </c>
      <c r="Q84" s="3">
        <v>7000</v>
      </c>
      <c r="R84" s="3">
        <v>5000</v>
      </c>
      <c r="S84" s="3">
        <v>12000</v>
      </c>
      <c r="T84" s="3">
        <v>21000</v>
      </c>
      <c r="U84" s="3">
        <v>5000</v>
      </c>
    </row>
    <row r="85" spans="1:21" x14ac:dyDescent="0.25">
      <c r="A85" s="9">
        <v>2012</v>
      </c>
      <c r="B85" s="10" t="s">
        <v>26</v>
      </c>
      <c r="C85" s="7">
        <f t="shared" si="2"/>
        <v>109900</v>
      </c>
      <c r="D85" s="3">
        <v>3500</v>
      </c>
      <c r="E85" s="3">
        <v>1250</v>
      </c>
      <c r="F85" s="3">
        <v>14000</v>
      </c>
      <c r="G85" s="3">
        <v>5000</v>
      </c>
      <c r="H85" s="3">
        <v>2250</v>
      </c>
      <c r="I85" s="3">
        <v>3500</v>
      </c>
      <c r="J85" s="3">
        <v>11000</v>
      </c>
      <c r="K85" s="3">
        <v>5000</v>
      </c>
      <c r="L85" s="3">
        <v>8000</v>
      </c>
      <c r="M85" s="3">
        <v>3000</v>
      </c>
      <c r="N85" s="3">
        <v>1000</v>
      </c>
      <c r="O85" s="3">
        <v>900</v>
      </c>
      <c r="P85" s="3">
        <v>6000</v>
      </c>
      <c r="Q85" s="3">
        <v>4000</v>
      </c>
      <c r="R85" s="3">
        <v>10000</v>
      </c>
      <c r="S85" s="3">
        <v>11000</v>
      </c>
      <c r="T85" s="3">
        <v>16000</v>
      </c>
      <c r="U85" s="3">
        <v>4500</v>
      </c>
    </row>
    <row r="86" spans="1:21" x14ac:dyDescent="0.25">
      <c r="A86" s="9">
        <v>2012</v>
      </c>
      <c r="B86" s="10" t="s">
        <v>8</v>
      </c>
      <c r="C86" s="7">
        <f t="shared" si="2"/>
        <v>37250</v>
      </c>
      <c r="D86" s="3">
        <v>1250</v>
      </c>
      <c r="E86" s="3">
        <v>450</v>
      </c>
      <c r="F86" s="3">
        <v>4500</v>
      </c>
      <c r="G86" s="3">
        <v>2250</v>
      </c>
      <c r="H86" s="3">
        <v>700</v>
      </c>
      <c r="I86" s="3">
        <v>1750</v>
      </c>
      <c r="J86" s="3">
        <v>3000</v>
      </c>
      <c r="K86" s="3">
        <v>1750</v>
      </c>
      <c r="L86" s="3">
        <v>3000</v>
      </c>
      <c r="M86" s="3">
        <v>700</v>
      </c>
      <c r="N86" s="3">
        <v>400</v>
      </c>
      <c r="O86" s="3">
        <v>500</v>
      </c>
      <c r="P86" s="3">
        <v>2250</v>
      </c>
      <c r="Q86" s="3">
        <v>1500</v>
      </c>
      <c r="R86" s="3">
        <v>3500</v>
      </c>
      <c r="S86" s="3">
        <v>3000</v>
      </c>
      <c r="T86" s="3">
        <v>5000</v>
      </c>
      <c r="U86" s="3">
        <v>1750</v>
      </c>
    </row>
    <row r="87" spans="1:21" x14ac:dyDescent="0.25">
      <c r="A87" s="9">
        <v>2012</v>
      </c>
      <c r="B87" s="10" t="s">
        <v>9</v>
      </c>
      <c r="C87" s="7">
        <f t="shared" si="2"/>
        <v>74150</v>
      </c>
      <c r="D87" s="3">
        <v>1250</v>
      </c>
      <c r="E87" s="3">
        <v>350</v>
      </c>
      <c r="F87" s="3">
        <v>4500</v>
      </c>
      <c r="G87" s="3">
        <v>3000</v>
      </c>
      <c r="H87" s="3">
        <v>1500</v>
      </c>
      <c r="I87" s="3">
        <v>4500</v>
      </c>
      <c r="J87" s="3">
        <v>7000</v>
      </c>
      <c r="K87" s="3">
        <v>2500</v>
      </c>
      <c r="L87" s="3">
        <v>7000</v>
      </c>
      <c r="M87" s="3">
        <v>7000</v>
      </c>
      <c r="N87" s="3">
        <v>2250</v>
      </c>
      <c r="O87" s="3">
        <v>800</v>
      </c>
      <c r="P87" s="3">
        <v>5000</v>
      </c>
      <c r="Q87" s="3">
        <v>4000</v>
      </c>
      <c r="R87" s="3">
        <v>2000</v>
      </c>
      <c r="S87" s="3">
        <v>8000</v>
      </c>
      <c r="T87" s="3">
        <v>10000</v>
      </c>
      <c r="U87" s="3">
        <v>3500</v>
      </c>
    </row>
    <row r="88" spans="1:21" x14ac:dyDescent="0.25">
      <c r="A88" s="9">
        <v>2012</v>
      </c>
      <c r="B88" s="10" t="s">
        <v>10</v>
      </c>
      <c r="C88" s="7">
        <f t="shared" si="2"/>
        <v>112770</v>
      </c>
      <c r="D88" s="3">
        <v>20</v>
      </c>
      <c r="E88" s="3">
        <v>1000</v>
      </c>
      <c r="F88" s="3">
        <v>19000</v>
      </c>
      <c r="G88" s="3">
        <v>6000</v>
      </c>
      <c r="H88" s="3">
        <v>1750</v>
      </c>
      <c r="I88" s="3">
        <v>4500</v>
      </c>
      <c r="J88" s="3">
        <v>12000</v>
      </c>
      <c r="K88" s="3">
        <v>4500</v>
      </c>
      <c r="L88" s="3">
        <v>4500</v>
      </c>
      <c r="M88" s="3">
        <v>2000</v>
      </c>
      <c r="N88" s="3">
        <v>1000</v>
      </c>
      <c r="O88" s="3">
        <v>1000</v>
      </c>
      <c r="P88" s="3">
        <v>4000</v>
      </c>
      <c r="Q88" s="3">
        <v>11000</v>
      </c>
      <c r="R88" s="3">
        <v>7000</v>
      </c>
      <c r="S88" s="3">
        <v>11000</v>
      </c>
      <c r="T88" s="3">
        <v>19000</v>
      </c>
      <c r="U88" s="3">
        <v>3500</v>
      </c>
    </row>
    <row r="89" spans="1:21" x14ac:dyDescent="0.25">
      <c r="A89" s="9">
        <v>2012</v>
      </c>
      <c r="B89" s="10" t="s">
        <v>13</v>
      </c>
      <c r="C89" s="7">
        <f t="shared" si="2"/>
        <v>148100</v>
      </c>
      <c r="D89" s="3">
        <v>350</v>
      </c>
      <c r="E89" s="3">
        <v>1500</v>
      </c>
      <c r="F89" s="3">
        <v>25000</v>
      </c>
      <c r="G89" s="3">
        <v>8000</v>
      </c>
      <c r="H89" s="3">
        <v>3000</v>
      </c>
      <c r="I89" s="3">
        <v>10000</v>
      </c>
      <c r="J89" s="3">
        <v>15000</v>
      </c>
      <c r="K89" s="3">
        <v>5000</v>
      </c>
      <c r="L89" s="3">
        <v>7000</v>
      </c>
      <c r="M89" s="3">
        <v>2500</v>
      </c>
      <c r="N89" s="3">
        <v>2250</v>
      </c>
      <c r="O89" s="3">
        <v>1500</v>
      </c>
      <c r="P89" s="3">
        <v>7000</v>
      </c>
      <c r="Q89" s="3">
        <v>9000</v>
      </c>
      <c r="R89" s="3">
        <v>5000</v>
      </c>
      <c r="S89" s="3">
        <v>19000</v>
      </c>
      <c r="T89" s="3">
        <v>21000</v>
      </c>
      <c r="U89" s="3">
        <v>6000</v>
      </c>
    </row>
    <row r="90" spans="1:21" x14ac:dyDescent="0.25">
      <c r="A90" s="9">
        <v>2012</v>
      </c>
      <c r="B90" s="10" t="s">
        <v>14</v>
      </c>
      <c r="C90" s="7">
        <f t="shared" si="2"/>
        <v>394800</v>
      </c>
      <c r="D90" s="3">
        <v>800</v>
      </c>
      <c r="E90" s="3">
        <v>7000</v>
      </c>
      <c r="F90" s="3">
        <v>29000</v>
      </c>
      <c r="G90" s="3">
        <v>18000</v>
      </c>
      <c r="H90" s="3">
        <v>5000</v>
      </c>
      <c r="I90" s="3">
        <v>16000</v>
      </c>
      <c r="J90" s="3">
        <v>30000</v>
      </c>
      <c r="K90" s="3">
        <v>14000</v>
      </c>
      <c r="L90" s="3">
        <v>22000</v>
      </c>
      <c r="M90" s="3">
        <v>16000</v>
      </c>
      <c r="N90" s="3">
        <v>24000</v>
      </c>
      <c r="O90" s="3">
        <v>5000</v>
      </c>
      <c r="P90" s="3">
        <v>41000</v>
      </c>
      <c r="Q90" s="3">
        <v>43000</v>
      </c>
      <c r="R90" s="3">
        <v>19000</v>
      </c>
      <c r="S90" s="3">
        <v>38000</v>
      </c>
      <c r="T90" s="3">
        <v>49000</v>
      </c>
      <c r="U90" s="3">
        <v>18000</v>
      </c>
    </row>
    <row r="91" spans="1:21" x14ac:dyDescent="0.25">
      <c r="A91" s="9">
        <v>2012</v>
      </c>
      <c r="B91" s="10" t="s">
        <v>15</v>
      </c>
      <c r="C91" s="7">
        <f t="shared" ref="C91:C154" si="37">SUM(D91:U91)</f>
        <v>62750</v>
      </c>
      <c r="D91" s="3">
        <v>200</v>
      </c>
      <c r="E91" s="3">
        <v>800</v>
      </c>
      <c r="F91" s="3">
        <v>9000</v>
      </c>
      <c r="G91" s="3">
        <v>2500</v>
      </c>
      <c r="H91" s="3">
        <v>1250</v>
      </c>
      <c r="I91" s="3">
        <v>2000</v>
      </c>
      <c r="J91" s="3">
        <v>7000</v>
      </c>
      <c r="K91" s="3">
        <v>6000</v>
      </c>
      <c r="L91" s="3">
        <v>3500</v>
      </c>
      <c r="M91" s="3">
        <v>700</v>
      </c>
      <c r="N91" s="3">
        <v>700</v>
      </c>
      <c r="O91" s="3">
        <v>600</v>
      </c>
      <c r="P91" s="3">
        <v>2500</v>
      </c>
      <c r="Q91" s="3">
        <v>5000</v>
      </c>
      <c r="R91" s="3">
        <v>2500</v>
      </c>
      <c r="S91" s="3">
        <v>6000</v>
      </c>
      <c r="T91" s="3">
        <v>10000</v>
      </c>
      <c r="U91" s="3">
        <v>2500</v>
      </c>
    </row>
    <row r="92" spans="1:21" x14ac:dyDescent="0.25">
      <c r="A92" s="9">
        <v>2012</v>
      </c>
      <c r="B92" s="10" t="s">
        <v>16</v>
      </c>
      <c r="C92" s="7">
        <f t="shared" si="37"/>
        <v>66150</v>
      </c>
      <c r="D92" s="3">
        <v>900</v>
      </c>
      <c r="E92" s="3">
        <v>1750</v>
      </c>
      <c r="F92" s="3">
        <v>13000</v>
      </c>
      <c r="G92" s="3">
        <v>4500</v>
      </c>
      <c r="H92" s="3">
        <v>1500</v>
      </c>
      <c r="I92" s="3">
        <v>2500</v>
      </c>
      <c r="J92" s="3">
        <v>6000</v>
      </c>
      <c r="K92" s="3">
        <v>6000</v>
      </c>
      <c r="L92" s="3">
        <v>3500</v>
      </c>
      <c r="M92" s="3">
        <v>450</v>
      </c>
      <c r="N92" s="3">
        <v>700</v>
      </c>
      <c r="O92" s="3">
        <v>600</v>
      </c>
      <c r="P92" s="3">
        <v>2000</v>
      </c>
      <c r="Q92" s="3">
        <v>5000</v>
      </c>
      <c r="R92" s="3">
        <v>2500</v>
      </c>
      <c r="S92" s="3">
        <v>5000</v>
      </c>
      <c r="T92" s="3">
        <v>8000</v>
      </c>
      <c r="U92" s="3">
        <v>2250</v>
      </c>
    </row>
    <row r="93" spans="1:21" x14ac:dyDescent="0.25">
      <c r="A93" s="9">
        <v>2012</v>
      </c>
      <c r="B93" s="10" t="s">
        <v>24</v>
      </c>
      <c r="C93" s="7">
        <f t="shared" si="37"/>
        <v>15650</v>
      </c>
      <c r="D93" s="3">
        <v>900</v>
      </c>
      <c r="E93" s="3">
        <v>200</v>
      </c>
      <c r="F93" s="3">
        <v>1000</v>
      </c>
      <c r="G93" s="3">
        <v>900</v>
      </c>
      <c r="H93" s="3">
        <v>250</v>
      </c>
      <c r="I93" s="3">
        <v>600</v>
      </c>
      <c r="J93" s="3">
        <v>1500</v>
      </c>
      <c r="K93" s="3">
        <v>350</v>
      </c>
      <c r="L93" s="3">
        <v>2000</v>
      </c>
      <c r="M93" s="3">
        <v>175</v>
      </c>
      <c r="N93" s="3">
        <v>125</v>
      </c>
      <c r="O93" s="3">
        <v>300</v>
      </c>
      <c r="P93" s="3">
        <v>700</v>
      </c>
      <c r="Q93" s="3">
        <v>1250</v>
      </c>
      <c r="R93" s="3">
        <v>900</v>
      </c>
      <c r="S93" s="3">
        <v>1500</v>
      </c>
      <c r="T93" s="3">
        <v>1750</v>
      </c>
      <c r="U93" s="3">
        <v>1250</v>
      </c>
    </row>
    <row r="94" spans="1:21" x14ac:dyDescent="0.25">
      <c r="A94" s="9">
        <v>2012</v>
      </c>
      <c r="B94" s="10" t="s">
        <v>17</v>
      </c>
      <c r="C94" s="7">
        <f t="shared" si="37"/>
        <v>91850</v>
      </c>
      <c r="D94" s="3">
        <v>200</v>
      </c>
      <c r="E94" s="3">
        <v>2000</v>
      </c>
      <c r="F94" s="3">
        <v>14000</v>
      </c>
      <c r="G94" s="3">
        <v>6000</v>
      </c>
      <c r="H94" s="3">
        <v>1500</v>
      </c>
      <c r="I94" s="3">
        <v>3000</v>
      </c>
      <c r="J94" s="3">
        <v>9000</v>
      </c>
      <c r="K94" s="3">
        <v>4500</v>
      </c>
      <c r="L94" s="3">
        <v>4500</v>
      </c>
      <c r="M94" s="3">
        <v>1750</v>
      </c>
      <c r="N94" s="3">
        <v>1500</v>
      </c>
      <c r="O94" s="3">
        <v>400</v>
      </c>
      <c r="P94" s="3">
        <v>3500</v>
      </c>
      <c r="Q94" s="3">
        <v>9000</v>
      </c>
      <c r="R94" s="3">
        <v>6000</v>
      </c>
      <c r="S94" s="3">
        <v>10000</v>
      </c>
      <c r="T94" s="3">
        <v>12000</v>
      </c>
      <c r="U94" s="3">
        <v>3000</v>
      </c>
    </row>
    <row r="95" spans="1:21" x14ac:dyDescent="0.25">
      <c r="A95" s="9">
        <v>2012</v>
      </c>
      <c r="B95" s="10" t="s">
        <v>18</v>
      </c>
      <c r="C95" s="7">
        <f t="shared" si="37"/>
        <v>21750</v>
      </c>
      <c r="D95" s="3">
        <v>1250</v>
      </c>
      <c r="E95" s="3">
        <v>125</v>
      </c>
      <c r="F95" s="3">
        <v>3500</v>
      </c>
      <c r="G95" s="3">
        <v>1250</v>
      </c>
      <c r="H95" s="3">
        <v>500</v>
      </c>
      <c r="I95" s="3">
        <v>800</v>
      </c>
      <c r="J95" s="3">
        <v>1750</v>
      </c>
      <c r="K95" s="3">
        <v>600</v>
      </c>
      <c r="L95" s="3">
        <v>2000</v>
      </c>
      <c r="M95" s="3">
        <v>225</v>
      </c>
      <c r="N95" s="3">
        <v>150</v>
      </c>
      <c r="O95" s="3">
        <v>300</v>
      </c>
      <c r="P95" s="3">
        <v>1000</v>
      </c>
      <c r="Q95" s="3">
        <v>800</v>
      </c>
      <c r="R95" s="3">
        <v>1250</v>
      </c>
      <c r="S95" s="3">
        <v>2250</v>
      </c>
      <c r="T95" s="3">
        <v>2000</v>
      </c>
      <c r="U95" s="3">
        <v>2000</v>
      </c>
    </row>
    <row r="96" spans="1:21" x14ac:dyDescent="0.25">
      <c r="A96" s="9">
        <v>2012</v>
      </c>
      <c r="B96" s="10" t="s">
        <v>19</v>
      </c>
      <c r="C96" s="7">
        <f t="shared" si="37"/>
        <v>39850</v>
      </c>
      <c r="D96" s="3">
        <v>600</v>
      </c>
      <c r="E96" s="3">
        <v>100</v>
      </c>
      <c r="F96" s="3">
        <v>4500</v>
      </c>
      <c r="G96" s="3">
        <v>1500</v>
      </c>
      <c r="H96" s="3">
        <v>450</v>
      </c>
      <c r="I96" s="3">
        <v>1000</v>
      </c>
      <c r="J96" s="3">
        <v>5000</v>
      </c>
      <c r="K96" s="3">
        <v>1000</v>
      </c>
      <c r="L96" s="3">
        <v>7000</v>
      </c>
      <c r="M96" s="3">
        <v>300</v>
      </c>
      <c r="N96" s="3">
        <v>400</v>
      </c>
      <c r="O96" s="3">
        <v>500</v>
      </c>
      <c r="P96" s="3">
        <v>1000</v>
      </c>
      <c r="Q96" s="3">
        <v>1250</v>
      </c>
      <c r="R96" s="3">
        <v>1250</v>
      </c>
      <c r="S96" s="3">
        <v>4000</v>
      </c>
      <c r="T96" s="3">
        <v>8000</v>
      </c>
      <c r="U96" s="3">
        <v>2000</v>
      </c>
    </row>
    <row r="97" spans="1:21" x14ac:dyDescent="0.25">
      <c r="A97" s="9">
        <v>2012</v>
      </c>
      <c r="B97" s="10" t="s">
        <v>20</v>
      </c>
      <c r="C97" s="7">
        <f t="shared" si="37"/>
        <v>31575</v>
      </c>
      <c r="D97" s="3">
        <v>800</v>
      </c>
      <c r="E97" s="3">
        <v>1750</v>
      </c>
      <c r="F97" s="3">
        <v>7000</v>
      </c>
      <c r="G97" s="3">
        <v>1750</v>
      </c>
      <c r="H97" s="3">
        <v>450</v>
      </c>
      <c r="I97" s="3">
        <v>1250</v>
      </c>
      <c r="J97" s="3">
        <v>2000</v>
      </c>
      <c r="K97" s="3">
        <v>3000</v>
      </c>
      <c r="L97" s="3">
        <v>2000</v>
      </c>
      <c r="M97" s="3">
        <v>400</v>
      </c>
      <c r="N97" s="3">
        <v>225</v>
      </c>
      <c r="O97" s="3">
        <v>200</v>
      </c>
      <c r="P97" s="3">
        <v>2000</v>
      </c>
      <c r="Q97" s="3">
        <v>1750</v>
      </c>
      <c r="R97" s="3">
        <v>700</v>
      </c>
      <c r="S97" s="3">
        <v>3000</v>
      </c>
      <c r="T97" s="3">
        <v>2500</v>
      </c>
      <c r="U97" s="3">
        <v>800</v>
      </c>
    </row>
    <row r="98" spans="1:21" x14ac:dyDescent="0.25">
      <c r="A98" s="9">
        <v>2012</v>
      </c>
      <c r="B98" s="10" t="s">
        <v>21</v>
      </c>
      <c r="C98" s="7">
        <f t="shared" si="37"/>
        <v>239000</v>
      </c>
      <c r="D98" s="3">
        <v>250</v>
      </c>
      <c r="E98" s="3">
        <v>1750</v>
      </c>
      <c r="F98" s="3">
        <v>23000</v>
      </c>
      <c r="G98" s="3">
        <v>9000</v>
      </c>
      <c r="H98" s="3">
        <v>3500</v>
      </c>
      <c r="I98" s="3">
        <v>10000</v>
      </c>
      <c r="J98" s="3">
        <v>25000</v>
      </c>
      <c r="K98" s="3">
        <v>9000</v>
      </c>
      <c r="L98" s="3">
        <v>12000</v>
      </c>
      <c r="M98" s="3">
        <v>10000</v>
      </c>
      <c r="N98" s="3">
        <v>9000</v>
      </c>
      <c r="O98" s="3">
        <v>3500</v>
      </c>
      <c r="P98" s="3">
        <v>13000</v>
      </c>
      <c r="Q98" s="3">
        <v>15000</v>
      </c>
      <c r="R98" s="3">
        <v>15000</v>
      </c>
      <c r="S98" s="3">
        <v>31000</v>
      </c>
      <c r="T98" s="3">
        <v>39000</v>
      </c>
      <c r="U98" s="3">
        <v>10000</v>
      </c>
    </row>
    <row r="99" spans="1:21" x14ac:dyDescent="0.25">
      <c r="A99" s="9">
        <v>2012</v>
      </c>
      <c r="B99" s="10" t="s">
        <v>22</v>
      </c>
      <c r="C99" s="7">
        <f t="shared" si="37"/>
        <v>135900</v>
      </c>
      <c r="D99" s="3">
        <v>400</v>
      </c>
      <c r="E99" s="3">
        <v>1750</v>
      </c>
      <c r="F99" s="3">
        <v>16000</v>
      </c>
      <c r="G99" s="3">
        <v>7000</v>
      </c>
      <c r="H99" s="3">
        <v>2500</v>
      </c>
      <c r="I99" s="3">
        <v>7000</v>
      </c>
      <c r="J99" s="3">
        <v>14000</v>
      </c>
      <c r="K99" s="3">
        <v>13000</v>
      </c>
      <c r="L99" s="3">
        <v>7000</v>
      </c>
      <c r="M99" s="3">
        <v>2500</v>
      </c>
      <c r="N99" s="3">
        <v>2000</v>
      </c>
      <c r="O99" s="3">
        <v>1750</v>
      </c>
      <c r="P99" s="3">
        <v>6000</v>
      </c>
      <c r="Q99" s="3">
        <v>10000</v>
      </c>
      <c r="R99" s="3">
        <v>9000</v>
      </c>
      <c r="S99" s="3">
        <v>12000</v>
      </c>
      <c r="T99" s="3">
        <v>19000</v>
      </c>
      <c r="U99" s="3">
        <v>5000</v>
      </c>
    </row>
    <row r="100" spans="1:21" x14ac:dyDescent="0.25">
      <c r="A100" s="9">
        <v>2012</v>
      </c>
      <c r="B100" s="10" t="s">
        <v>23</v>
      </c>
      <c r="C100" s="7">
        <f t="shared" si="37"/>
        <v>100650</v>
      </c>
      <c r="D100" s="3">
        <v>250</v>
      </c>
      <c r="E100" s="3">
        <v>500</v>
      </c>
      <c r="F100" s="3">
        <v>4000</v>
      </c>
      <c r="G100" s="3">
        <v>4000</v>
      </c>
      <c r="H100" s="3">
        <v>1250</v>
      </c>
      <c r="I100" s="3">
        <v>2250</v>
      </c>
      <c r="J100" s="3">
        <v>12000</v>
      </c>
      <c r="K100" s="3">
        <v>9000</v>
      </c>
      <c r="L100" s="3">
        <v>9000</v>
      </c>
      <c r="M100" s="3">
        <v>2500</v>
      </c>
      <c r="N100" s="3">
        <v>5000</v>
      </c>
      <c r="O100" s="3">
        <v>900</v>
      </c>
      <c r="P100" s="3">
        <v>7000</v>
      </c>
      <c r="Q100" s="3">
        <v>6000</v>
      </c>
      <c r="R100" s="3">
        <v>5000</v>
      </c>
      <c r="S100" s="3">
        <v>11000</v>
      </c>
      <c r="T100" s="3">
        <v>16000</v>
      </c>
      <c r="U100" s="3">
        <v>5000</v>
      </c>
    </row>
    <row r="101" spans="1:21" x14ac:dyDescent="0.25">
      <c r="A101" s="9">
        <v>2012</v>
      </c>
      <c r="B101" s="4" t="s">
        <v>25</v>
      </c>
      <c r="C101" s="7">
        <f t="shared" si="37"/>
        <v>2154045</v>
      </c>
      <c r="D101" s="5">
        <f>SUM(D80:D100)</f>
        <v>14770</v>
      </c>
      <c r="E101" s="5">
        <f t="shared" ref="E101" si="38">SUM(E80:E100)</f>
        <v>27275</v>
      </c>
      <c r="F101" s="5">
        <f t="shared" ref="F101" si="39">SUM(F80:F100)</f>
        <v>251000</v>
      </c>
      <c r="G101" s="5">
        <f t="shared" ref="G101" si="40">SUM(G80:G100)</f>
        <v>102650</v>
      </c>
      <c r="H101" s="5">
        <f t="shared" ref="H101" si="41">SUM(H80:H100)</f>
        <v>36500</v>
      </c>
      <c r="I101" s="5">
        <f t="shared" ref="I101" si="42">SUM(I80:I100)</f>
        <v>90400</v>
      </c>
      <c r="J101" s="5">
        <f t="shared" ref="J101" si="43">SUM(J80:J100)</f>
        <v>205250</v>
      </c>
      <c r="K101" s="5">
        <f t="shared" ref="K101" si="44">SUM(K80:K100)</f>
        <v>106300</v>
      </c>
      <c r="L101" s="5">
        <f t="shared" ref="L101" si="45">SUM(L80:L100)</f>
        <v>128500</v>
      </c>
      <c r="M101" s="5">
        <f t="shared" ref="M101" si="46">SUM(M80:M100)</f>
        <v>61150</v>
      </c>
      <c r="N101" s="5">
        <f t="shared" ref="N101" si="47">SUM(N80:N100)</f>
        <v>71200</v>
      </c>
      <c r="O101" s="5">
        <f t="shared" ref="O101" si="48">SUM(O80:O100)</f>
        <v>23900</v>
      </c>
      <c r="P101" s="5">
        <f t="shared" ref="P101" si="49">SUM(P80:P100)</f>
        <v>127700</v>
      </c>
      <c r="Q101" s="5">
        <f t="shared" ref="Q101" si="50">SUM(Q80:Q100)</f>
        <v>161050</v>
      </c>
      <c r="R101" s="5">
        <f t="shared" ref="R101" si="51">SUM(R80:R100)</f>
        <v>113100</v>
      </c>
      <c r="S101" s="5">
        <f t="shared" ref="S101" si="52">SUM(S80:S100)</f>
        <v>227750</v>
      </c>
      <c r="T101" s="5">
        <f t="shared" ref="T101" si="53">SUM(T80:T100)</f>
        <v>314500</v>
      </c>
      <c r="U101" s="5">
        <f t="shared" ref="U101" si="54">SUM(U80:U100)</f>
        <v>91050</v>
      </c>
    </row>
    <row r="102" spans="1:21" x14ac:dyDescent="0.25">
      <c r="A102" s="9">
        <v>2013</v>
      </c>
      <c r="B102" s="10" t="s">
        <v>27</v>
      </c>
      <c r="C102" s="7">
        <f t="shared" si="37"/>
        <v>251000</v>
      </c>
      <c r="D102" s="3">
        <v>6000</v>
      </c>
      <c r="E102" s="3">
        <v>3500</v>
      </c>
      <c r="F102" s="3">
        <v>27000</v>
      </c>
      <c r="G102" s="3">
        <v>10000</v>
      </c>
      <c r="H102" s="3">
        <v>5000</v>
      </c>
      <c r="I102" s="3">
        <v>12000</v>
      </c>
      <c r="J102" s="3">
        <v>23000</v>
      </c>
      <c r="K102" s="3">
        <v>11000</v>
      </c>
      <c r="L102" s="3">
        <v>26000</v>
      </c>
      <c r="M102" s="3">
        <v>4000</v>
      </c>
      <c r="N102" s="3">
        <v>5000</v>
      </c>
      <c r="O102" s="3">
        <v>4500</v>
      </c>
      <c r="P102" s="3">
        <v>19000</v>
      </c>
      <c r="Q102" s="3">
        <v>16000</v>
      </c>
      <c r="R102" s="3">
        <v>11000</v>
      </c>
      <c r="S102" s="3">
        <v>24000</v>
      </c>
      <c r="T102" s="3">
        <v>32000</v>
      </c>
      <c r="U102" s="3">
        <v>12000</v>
      </c>
    </row>
    <row r="103" spans="1:21" x14ac:dyDescent="0.25">
      <c r="A103" s="9">
        <v>2013</v>
      </c>
      <c r="B103" s="10" t="s">
        <v>11</v>
      </c>
      <c r="C103" s="7">
        <f t="shared" si="37"/>
        <v>516800</v>
      </c>
      <c r="D103" s="3">
        <v>800</v>
      </c>
      <c r="E103" s="3">
        <v>6000</v>
      </c>
      <c r="F103" s="3">
        <v>55000</v>
      </c>
      <c r="G103" s="3">
        <v>23000</v>
      </c>
      <c r="H103" s="3">
        <v>12000</v>
      </c>
      <c r="I103" s="3">
        <v>18000</v>
      </c>
      <c r="J103" s="3">
        <v>53000</v>
      </c>
      <c r="K103" s="3">
        <v>27000</v>
      </c>
      <c r="L103" s="3">
        <v>27000</v>
      </c>
      <c r="M103" s="3">
        <v>14000</v>
      </c>
      <c r="N103" s="3">
        <v>13000</v>
      </c>
      <c r="O103" s="3">
        <v>6000</v>
      </c>
      <c r="P103" s="3">
        <v>26000</v>
      </c>
      <c r="Q103" s="3">
        <v>43000</v>
      </c>
      <c r="R103" s="3">
        <v>27000</v>
      </c>
      <c r="S103" s="3">
        <v>60000</v>
      </c>
      <c r="T103" s="3">
        <v>86000</v>
      </c>
      <c r="U103" s="3">
        <v>20000</v>
      </c>
    </row>
    <row r="104" spans="1:21" x14ac:dyDescent="0.25">
      <c r="A104" s="9">
        <v>2013</v>
      </c>
      <c r="B104" s="10" t="s">
        <v>12</v>
      </c>
      <c r="C104" s="7">
        <f t="shared" si="37"/>
        <v>962500</v>
      </c>
      <c r="D104" s="3">
        <v>1500</v>
      </c>
      <c r="E104" s="3">
        <v>14000</v>
      </c>
      <c r="F104" s="3">
        <v>104000</v>
      </c>
      <c r="G104" s="3">
        <v>37000</v>
      </c>
      <c r="H104" s="3">
        <v>19000</v>
      </c>
      <c r="I104" s="3">
        <v>45000</v>
      </c>
      <c r="J104" s="3">
        <v>84000</v>
      </c>
      <c r="K104" s="3">
        <v>45000</v>
      </c>
      <c r="L104" s="3">
        <v>50000</v>
      </c>
      <c r="M104" s="3">
        <v>28000</v>
      </c>
      <c r="N104" s="3">
        <v>39000</v>
      </c>
      <c r="O104" s="3">
        <v>17000</v>
      </c>
      <c r="P104" s="3">
        <v>75000</v>
      </c>
      <c r="Q104" s="3">
        <v>92000</v>
      </c>
      <c r="R104" s="3">
        <v>46000</v>
      </c>
      <c r="S104" s="3">
        <v>100000</v>
      </c>
      <c r="T104" s="3">
        <v>129000</v>
      </c>
      <c r="U104" s="3">
        <v>37000</v>
      </c>
    </row>
    <row r="105" spans="1:21" x14ac:dyDescent="0.25">
      <c r="A105" s="9">
        <v>2013</v>
      </c>
      <c r="B105" s="10" t="s">
        <v>3</v>
      </c>
      <c r="C105" s="7">
        <f t="shared" si="37"/>
        <v>74350</v>
      </c>
      <c r="D105" s="3">
        <v>200</v>
      </c>
      <c r="E105" s="3">
        <v>400</v>
      </c>
      <c r="F105" s="3">
        <v>11000</v>
      </c>
      <c r="G105" s="3">
        <v>3500</v>
      </c>
      <c r="H105" s="3">
        <v>1500</v>
      </c>
      <c r="I105" s="3">
        <v>2000</v>
      </c>
      <c r="J105" s="3">
        <v>7000</v>
      </c>
      <c r="K105" s="3">
        <v>5000</v>
      </c>
      <c r="L105" s="3">
        <v>4000</v>
      </c>
      <c r="M105" s="3">
        <v>1250</v>
      </c>
      <c r="N105" s="3">
        <v>1250</v>
      </c>
      <c r="O105" s="3">
        <v>1250</v>
      </c>
      <c r="P105" s="3">
        <v>3000</v>
      </c>
      <c r="Q105" s="3">
        <v>7000</v>
      </c>
      <c r="R105" s="3">
        <v>3000</v>
      </c>
      <c r="S105" s="3">
        <v>8000</v>
      </c>
      <c r="T105" s="3">
        <v>12000</v>
      </c>
      <c r="U105" s="3">
        <v>3000</v>
      </c>
    </row>
    <row r="106" spans="1:21" x14ac:dyDescent="0.25">
      <c r="A106" s="9">
        <v>2013</v>
      </c>
      <c r="B106" s="10" t="s">
        <v>5</v>
      </c>
      <c r="C106" s="7">
        <f t="shared" si="37"/>
        <v>186800</v>
      </c>
      <c r="D106" s="3">
        <v>300</v>
      </c>
      <c r="E106" s="3">
        <v>2500</v>
      </c>
      <c r="F106" s="3">
        <v>24000</v>
      </c>
      <c r="G106" s="3">
        <v>5000</v>
      </c>
      <c r="H106" s="3">
        <v>4000</v>
      </c>
      <c r="I106" s="3">
        <v>9000</v>
      </c>
      <c r="J106" s="3">
        <v>18000</v>
      </c>
      <c r="K106" s="3">
        <v>7000</v>
      </c>
      <c r="L106" s="3">
        <v>8000</v>
      </c>
      <c r="M106" s="3">
        <v>6000</v>
      </c>
      <c r="N106" s="3">
        <v>7000</v>
      </c>
      <c r="O106" s="3">
        <v>3000</v>
      </c>
      <c r="P106" s="3">
        <v>12000</v>
      </c>
      <c r="Q106" s="3">
        <v>12000</v>
      </c>
      <c r="R106" s="3">
        <v>10000</v>
      </c>
      <c r="S106" s="3">
        <v>23000</v>
      </c>
      <c r="T106" s="3">
        <v>30000</v>
      </c>
      <c r="U106" s="3">
        <v>6000</v>
      </c>
    </row>
    <row r="107" spans="1:21" x14ac:dyDescent="0.25">
      <c r="A107" s="9">
        <v>2013</v>
      </c>
      <c r="B107" s="10" t="s">
        <v>4</v>
      </c>
      <c r="C107" s="7">
        <f t="shared" si="37"/>
        <v>87350</v>
      </c>
      <c r="D107" s="3">
        <v>150</v>
      </c>
      <c r="E107" s="3">
        <v>450</v>
      </c>
      <c r="F107" s="3">
        <v>13000</v>
      </c>
      <c r="G107" s="3">
        <v>3500</v>
      </c>
      <c r="H107" s="3">
        <v>1500</v>
      </c>
      <c r="I107" s="3">
        <v>3500</v>
      </c>
      <c r="J107" s="3">
        <v>7000</v>
      </c>
      <c r="K107" s="3">
        <v>2500</v>
      </c>
      <c r="L107" s="3">
        <v>5000</v>
      </c>
      <c r="M107" s="3">
        <v>1500</v>
      </c>
      <c r="N107" s="3">
        <v>8000</v>
      </c>
      <c r="O107" s="3">
        <v>1250</v>
      </c>
      <c r="P107" s="3">
        <v>4500</v>
      </c>
      <c r="Q107" s="3">
        <v>11000</v>
      </c>
      <c r="R107" s="3">
        <v>3500</v>
      </c>
      <c r="S107" s="3">
        <v>8000</v>
      </c>
      <c r="T107" s="3">
        <v>10000</v>
      </c>
      <c r="U107" s="3">
        <v>3000</v>
      </c>
    </row>
    <row r="108" spans="1:21" x14ac:dyDescent="0.25">
      <c r="A108" s="9">
        <v>2013</v>
      </c>
      <c r="B108" s="10" t="s">
        <v>6</v>
      </c>
      <c r="C108" s="7">
        <f t="shared" si="37"/>
        <v>25900</v>
      </c>
      <c r="D108" s="3">
        <v>500</v>
      </c>
      <c r="E108" s="3">
        <v>150</v>
      </c>
      <c r="F108" s="3">
        <v>2500</v>
      </c>
      <c r="G108" s="3">
        <v>1250</v>
      </c>
      <c r="H108" s="3">
        <v>450</v>
      </c>
      <c r="I108" s="3">
        <v>1000</v>
      </c>
      <c r="J108" s="3">
        <v>2250</v>
      </c>
      <c r="K108" s="3">
        <v>600</v>
      </c>
      <c r="L108" s="3">
        <v>2500</v>
      </c>
      <c r="M108" s="3">
        <v>400</v>
      </c>
      <c r="N108" s="3">
        <v>2250</v>
      </c>
      <c r="O108" s="3">
        <v>400</v>
      </c>
      <c r="P108" s="3">
        <v>2500</v>
      </c>
      <c r="Q108" s="3">
        <v>2500</v>
      </c>
      <c r="R108" s="3">
        <v>400</v>
      </c>
      <c r="S108" s="3">
        <v>3000</v>
      </c>
      <c r="T108" s="3">
        <v>2000</v>
      </c>
      <c r="U108" s="3">
        <v>1250</v>
      </c>
    </row>
    <row r="109" spans="1:21" x14ac:dyDescent="0.25">
      <c r="A109" s="9">
        <v>2013</v>
      </c>
      <c r="B109" s="10" t="s">
        <v>7</v>
      </c>
      <c r="C109" s="7">
        <f t="shared" si="37"/>
        <v>110050</v>
      </c>
      <c r="D109" s="3">
        <v>300</v>
      </c>
      <c r="E109" s="3">
        <v>2500</v>
      </c>
      <c r="F109" s="3">
        <v>9000</v>
      </c>
      <c r="G109" s="3">
        <v>6000</v>
      </c>
      <c r="H109" s="3">
        <v>3500</v>
      </c>
      <c r="I109" s="3">
        <v>3500</v>
      </c>
      <c r="J109" s="3">
        <v>12000</v>
      </c>
      <c r="K109" s="3">
        <v>8000</v>
      </c>
      <c r="L109" s="3">
        <v>6000</v>
      </c>
      <c r="M109" s="3">
        <v>1250</v>
      </c>
      <c r="N109" s="3">
        <v>1500</v>
      </c>
      <c r="O109" s="3">
        <v>1000</v>
      </c>
      <c r="P109" s="3">
        <v>4500</v>
      </c>
      <c r="Q109" s="3">
        <v>9000</v>
      </c>
      <c r="R109" s="3">
        <v>4500</v>
      </c>
      <c r="S109" s="3">
        <v>11000</v>
      </c>
      <c r="T109" s="3">
        <v>22000</v>
      </c>
      <c r="U109" s="3">
        <v>4500</v>
      </c>
    </row>
    <row r="110" spans="1:21" x14ac:dyDescent="0.25">
      <c r="A110" s="9">
        <v>2013</v>
      </c>
      <c r="B110" s="10" t="s">
        <v>26</v>
      </c>
      <c r="C110" s="7">
        <f t="shared" si="37"/>
        <v>113750</v>
      </c>
      <c r="D110" s="3">
        <v>3000</v>
      </c>
      <c r="E110" s="3">
        <v>1500</v>
      </c>
      <c r="F110" s="3">
        <v>15000</v>
      </c>
      <c r="G110" s="3">
        <v>4500</v>
      </c>
      <c r="H110" s="3">
        <v>3000</v>
      </c>
      <c r="I110" s="3">
        <v>4000</v>
      </c>
      <c r="J110" s="3">
        <v>11000</v>
      </c>
      <c r="K110" s="3">
        <v>5000</v>
      </c>
      <c r="L110" s="3">
        <v>8000</v>
      </c>
      <c r="M110" s="3">
        <v>2500</v>
      </c>
      <c r="N110" s="3">
        <v>1000</v>
      </c>
      <c r="O110" s="3">
        <v>1750</v>
      </c>
      <c r="P110" s="3">
        <v>7000</v>
      </c>
      <c r="Q110" s="3">
        <v>4500</v>
      </c>
      <c r="R110" s="3">
        <v>10000</v>
      </c>
      <c r="S110" s="3">
        <v>12000</v>
      </c>
      <c r="T110" s="3">
        <v>16000</v>
      </c>
      <c r="U110" s="3">
        <v>4000</v>
      </c>
    </row>
    <row r="111" spans="1:21" x14ac:dyDescent="0.25">
      <c r="A111" s="9">
        <v>2013</v>
      </c>
      <c r="B111" s="10" t="s">
        <v>8</v>
      </c>
      <c r="C111" s="7">
        <f t="shared" si="37"/>
        <v>38850</v>
      </c>
      <c r="D111" s="3">
        <v>1250</v>
      </c>
      <c r="E111" s="3">
        <v>500</v>
      </c>
      <c r="F111" s="3">
        <v>4500</v>
      </c>
      <c r="G111" s="3">
        <v>1750</v>
      </c>
      <c r="H111" s="3">
        <v>900</v>
      </c>
      <c r="I111" s="3">
        <v>1750</v>
      </c>
      <c r="J111" s="3">
        <v>3000</v>
      </c>
      <c r="K111" s="3">
        <v>1500</v>
      </c>
      <c r="L111" s="3">
        <v>3000</v>
      </c>
      <c r="M111" s="3">
        <v>600</v>
      </c>
      <c r="N111" s="3">
        <v>400</v>
      </c>
      <c r="O111" s="3">
        <v>700</v>
      </c>
      <c r="P111" s="3">
        <v>2500</v>
      </c>
      <c r="Q111" s="3">
        <v>1750</v>
      </c>
      <c r="R111" s="3">
        <v>5000</v>
      </c>
      <c r="S111" s="3">
        <v>3000</v>
      </c>
      <c r="T111" s="3">
        <v>5000</v>
      </c>
      <c r="U111" s="3">
        <v>1750</v>
      </c>
    </row>
    <row r="112" spans="1:21" x14ac:dyDescent="0.25">
      <c r="A112" s="9">
        <v>2013</v>
      </c>
      <c r="B112" s="10" t="s">
        <v>9</v>
      </c>
      <c r="C112" s="7">
        <f t="shared" si="37"/>
        <v>74150</v>
      </c>
      <c r="D112" s="3">
        <v>1000</v>
      </c>
      <c r="E112" s="3">
        <v>400</v>
      </c>
      <c r="F112" s="3">
        <v>4500</v>
      </c>
      <c r="G112" s="3">
        <v>2250</v>
      </c>
      <c r="H112" s="3">
        <v>1750</v>
      </c>
      <c r="I112" s="3">
        <v>4500</v>
      </c>
      <c r="J112" s="3">
        <v>8000</v>
      </c>
      <c r="K112" s="3">
        <v>3000</v>
      </c>
      <c r="L112" s="3">
        <v>7000</v>
      </c>
      <c r="M112" s="3">
        <v>2000</v>
      </c>
      <c r="N112" s="3">
        <v>2000</v>
      </c>
      <c r="O112" s="3">
        <v>1500</v>
      </c>
      <c r="P112" s="3">
        <v>7000</v>
      </c>
      <c r="Q112" s="3">
        <v>6000</v>
      </c>
      <c r="R112" s="3">
        <v>2250</v>
      </c>
      <c r="S112" s="3">
        <v>7000</v>
      </c>
      <c r="T112" s="3">
        <v>11000</v>
      </c>
      <c r="U112" s="3">
        <v>3000</v>
      </c>
    </row>
    <row r="113" spans="1:21" x14ac:dyDescent="0.25">
      <c r="A113" s="9">
        <v>2013</v>
      </c>
      <c r="B113" s="10" t="s">
        <v>10</v>
      </c>
      <c r="C113" s="7">
        <f t="shared" si="37"/>
        <v>114505</v>
      </c>
      <c r="D113" s="3">
        <v>5</v>
      </c>
      <c r="E113" s="3">
        <v>1000</v>
      </c>
      <c r="F113" s="3">
        <v>19000</v>
      </c>
      <c r="G113" s="3">
        <v>5000</v>
      </c>
      <c r="H113" s="3">
        <v>2250</v>
      </c>
      <c r="I113" s="3">
        <v>4500</v>
      </c>
      <c r="J113" s="3">
        <v>12000</v>
      </c>
      <c r="K113" s="3">
        <v>4500</v>
      </c>
      <c r="L113" s="3">
        <v>5000</v>
      </c>
      <c r="M113" s="3">
        <v>2000</v>
      </c>
      <c r="N113" s="3">
        <v>1000</v>
      </c>
      <c r="O113" s="3">
        <v>1250</v>
      </c>
      <c r="P113" s="3">
        <v>4500</v>
      </c>
      <c r="Q113" s="3">
        <v>12000</v>
      </c>
      <c r="R113" s="3">
        <v>7000</v>
      </c>
      <c r="S113" s="3">
        <v>11000</v>
      </c>
      <c r="T113" s="3">
        <v>19000</v>
      </c>
      <c r="U113" s="3">
        <v>3500</v>
      </c>
    </row>
    <row r="114" spans="1:21" x14ac:dyDescent="0.25">
      <c r="A114" s="9">
        <v>2013</v>
      </c>
      <c r="B114" s="10" t="s">
        <v>13</v>
      </c>
      <c r="C114" s="7">
        <f t="shared" si="37"/>
        <v>144300</v>
      </c>
      <c r="D114" s="3">
        <v>300</v>
      </c>
      <c r="E114" s="3">
        <v>1250</v>
      </c>
      <c r="F114" s="3">
        <v>23000</v>
      </c>
      <c r="G114" s="3">
        <v>7000</v>
      </c>
      <c r="H114" s="3">
        <v>4000</v>
      </c>
      <c r="I114" s="3">
        <v>10000</v>
      </c>
      <c r="J114" s="3">
        <v>16000</v>
      </c>
      <c r="K114" s="3">
        <v>6000</v>
      </c>
      <c r="L114" s="3">
        <v>7000</v>
      </c>
      <c r="M114" s="3">
        <v>2500</v>
      </c>
      <c r="N114" s="3">
        <v>2000</v>
      </c>
      <c r="O114" s="3">
        <v>2250</v>
      </c>
      <c r="P114" s="3">
        <v>8000</v>
      </c>
      <c r="Q114" s="3">
        <v>8000</v>
      </c>
      <c r="R114" s="3">
        <v>5000</v>
      </c>
      <c r="S114" s="3">
        <v>17000</v>
      </c>
      <c r="T114" s="3">
        <v>20000</v>
      </c>
      <c r="U114" s="3">
        <v>5000</v>
      </c>
    </row>
    <row r="115" spans="1:21" x14ac:dyDescent="0.25">
      <c r="A115" s="9">
        <v>2013</v>
      </c>
      <c r="B115" s="10" t="s">
        <v>14</v>
      </c>
      <c r="C115" s="7">
        <f t="shared" si="37"/>
        <v>406600</v>
      </c>
      <c r="D115" s="3">
        <v>600</v>
      </c>
      <c r="E115" s="3">
        <v>8000</v>
      </c>
      <c r="F115" s="3">
        <v>29000</v>
      </c>
      <c r="G115" s="3">
        <v>16000</v>
      </c>
      <c r="H115" s="3">
        <v>7000</v>
      </c>
      <c r="I115" s="3">
        <v>16000</v>
      </c>
      <c r="J115" s="3">
        <v>31000</v>
      </c>
      <c r="K115" s="3">
        <v>16000</v>
      </c>
      <c r="L115" s="3">
        <v>22000</v>
      </c>
      <c r="M115" s="3">
        <v>15000</v>
      </c>
      <c r="N115" s="3">
        <v>21000</v>
      </c>
      <c r="O115" s="3">
        <v>8000</v>
      </c>
      <c r="P115" s="3">
        <v>44000</v>
      </c>
      <c r="Q115" s="3">
        <v>49000</v>
      </c>
      <c r="R115" s="3">
        <v>18000</v>
      </c>
      <c r="S115" s="3">
        <v>39000</v>
      </c>
      <c r="T115" s="3">
        <v>49000</v>
      </c>
      <c r="U115" s="3">
        <v>18000</v>
      </c>
    </row>
    <row r="116" spans="1:21" x14ac:dyDescent="0.25">
      <c r="A116" s="9">
        <v>2013</v>
      </c>
      <c r="B116" s="10" t="s">
        <v>15</v>
      </c>
      <c r="C116" s="7">
        <f t="shared" si="37"/>
        <v>63575</v>
      </c>
      <c r="D116" s="3">
        <v>125</v>
      </c>
      <c r="E116" s="3">
        <v>700</v>
      </c>
      <c r="F116" s="3">
        <v>10000</v>
      </c>
      <c r="G116" s="3">
        <v>2250</v>
      </c>
      <c r="H116" s="3">
        <v>1750</v>
      </c>
      <c r="I116" s="3">
        <v>2500</v>
      </c>
      <c r="J116" s="3">
        <v>7000</v>
      </c>
      <c r="K116" s="3">
        <v>5000</v>
      </c>
      <c r="L116" s="3">
        <v>3500</v>
      </c>
      <c r="M116" s="3">
        <v>600</v>
      </c>
      <c r="N116" s="3">
        <v>1000</v>
      </c>
      <c r="O116" s="3">
        <v>900</v>
      </c>
      <c r="P116" s="3">
        <v>3500</v>
      </c>
      <c r="Q116" s="3">
        <v>4000</v>
      </c>
      <c r="R116" s="3">
        <v>2500</v>
      </c>
      <c r="S116" s="3">
        <v>6000</v>
      </c>
      <c r="T116" s="3">
        <v>10000</v>
      </c>
      <c r="U116" s="3">
        <v>2250</v>
      </c>
    </row>
    <row r="117" spans="1:21" x14ac:dyDescent="0.25">
      <c r="A117" s="9">
        <v>2013</v>
      </c>
      <c r="B117" s="10" t="s">
        <v>16</v>
      </c>
      <c r="C117" s="7">
        <f t="shared" si="37"/>
        <v>66250</v>
      </c>
      <c r="D117" s="3">
        <v>800</v>
      </c>
      <c r="E117" s="3">
        <v>1500</v>
      </c>
      <c r="F117" s="3">
        <v>13000</v>
      </c>
      <c r="G117" s="3">
        <v>4500</v>
      </c>
      <c r="H117" s="3">
        <v>2000</v>
      </c>
      <c r="I117" s="3">
        <v>2500</v>
      </c>
      <c r="J117" s="3">
        <v>6000</v>
      </c>
      <c r="K117" s="3">
        <v>5000</v>
      </c>
      <c r="L117" s="3">
        <v>3500</v>
      </c>
      <c r="M117" s="3">
        <v>400</v>
      </c>
      <c r="N117" s="3">
        <v>600</v>
      </c>
      <c r="O117" s="3">
        <v>700</v>
      </c>
      <c r="P117" s="3">
        <v>2500</v>
      </c>
      <c r="Q117" s="3">
        <v>5000</v>
      </c>
      <c r="R117" s="3">
        <v>2500</v>
      </c>
      <c r="S117" s="3">
        <v>6000</v>
      </c>
      <c r="T117" s="3">
        <v>8000</v>
      </c>
      <c r="U117" s="3">
        <v>1750</v>
      </c>
    </row>
    <row r="118" spans="1:21" x14ac:dyDescent="0.25">
      <c r="A118" s="9">
        <v>2013</v>
      </c>
      <c r="B118" s="10" t="s">
        <v>24</v>
      </c>
      <c r="C118" s="7">
        <f t="shared" si="37"/>
        <v>15875</v>
      </c>
      <c r="D118" s="3">
        <v>700</v>
      </c>
      <c r="E118" s="3">
        <v>225</v>
      </c>
      <c r="F118" s="3">
        <v>1000</v>
      </c>
      <c r="G118" s="3">
        <v>700</v>
      </c>
      <c r="H118" s="3">
        <v>400</v>
      </c>
      <c r="I118" s="3">
        <v>700</v>
      </c>
      <c r="J118" s="3">
        <v>1250</v>
      </c>
      <c r="K118" s="3">
        <v>600</v>
      </c>
      <c r="L118" s="3">
        <v>2000</v>
      </c>
      <c r="M118" s="3">
        <v>200</v>
      </c>
      <c r="N118" s="3">
        <v>100</v>
      </c>
      <c r="O118" s="3">
        <v>450</v>
      </c>
      <c r="P118" s="3">
        <v>900</v>
      </c>
      <c r="Q118" s="3">
        <v>1250</v>
      </c>
      <c r="R118" s="3">
        <v>900</v>
      </c>
      <c r="S118" s="3">
        <v>1500</v>
      </c>
      <c r="T118" s="3">
        <v>1750</v>
      </c>
      <c r="U118" s="3">
        <v>1250</v>
      </c>
    </row>
    <row r="119" spans="1:21" x14ac:dyDescent="0.25">
      <c r="A119" s="9">
        <v>2013</v>
      </c>
      <c r="B119" s="10" t="s">
        <v>17</v>
      </c>
      <c r="C119" s="7">
        <f t="shared" si="37"/>
        <v>93850</v>
      </c>
      <c r="D119" s="3">
        <v>150</v>
      </c>
      <c r="E119" s="3">
        <v>1250</v>
      </c>
      <c r="F119" s="3">
        <v>13000</v>
      </c>
      <c r="G119" s="3">
        <v>6000</v>
      </c>
      <c r="H119" s="3">
        <v>1750</v>
      </c>
      <c r="I119" s="3">
        <v>3000</v>
      </c>
      <c r="J119" s="3">
        <v>9000</v>
      </c>
      <c r="K119" s="3">
        <v>4500</v>
      </c>
      <c r="L119" s="3">
        <v>5000</v>
      </c>
      <c r="M119" s="3">
        <v>1500</v>
      </c>
      <c r="N119" s="3">
        <v>1500</v>
      </c>
      <c r="O119" s="3">
        <v>700</v>
      </c>
      <c r="P119" s="3">
        <v>4000</v>
      </c>
      <c r="Q119" s="3">
        <v>11000</v>
      </c>
      <c r="R119" s="3">
        <v>6000</v>
      </c>
      <c r="S119" s="3">
        <v>10000</v>
      </c>
      <c r="T119" s="3">
        <v>12000</v>
      </c>
      <c r="U119" s="3">
        <v>3500</v>
      </c>
    </row>
    <row r="120" spans="1:21" x14ac:dyDescent="0.25">
      <c r="A120" s="9">
        <v>2013</v>
      </c>
      <c r="B120" s="10" t="s">
        <v>18</v>
      </c>
      <c r="C120" s="7">
        <f t="shared" si="37"/>
        <v>22650</v>
      </c>
      <c r="D120" s="3">
        <v>1000</v>
      </c>
      <c r="E120" s="3">
        <v>125</v>
      </c>
      <c r="F120" s="3">
        <v>4000</v>
      </c>
      <c r="G120" s="3">
        <v>1250</v>
      </c>
      <c r="H120" s="3">
        <v>800</v>
      </c>
      <c r="I120" s="3">
        <v>1000</v>
      </c>
      <c r="J120" s="3">
        <v>1750</v>
      </c>
      <c r="K120" s="3">
        <v>700</v>
      </c>
      <c r="L120" s="3">
        <v>2250</v>
      </c>
      <c r="M120" s="3">
        <v>175</v>
      </c>
      <c r="N120" s="3">
        <v>150</v>
      </c>
      <c r="O120" s="3">
        <v>500</v>
      </c>
      <c r="P120" s="3">
        <v>2000</v>
      </c>
      <c r="Q120" s="3">
        <v>800</v>
      </c>
      <c r="R120" s="3">
        <v>400</v>
      </c>
      <c r="S120" s="3">
        <v>2000</v>
      </c>
      <c r="T120" s="3">
        <v>2000</v>
      </c>
      <c r="U120" s="3">
        <v>1750</v>
      </c>
    </row>
    <row r="121" spans="1:21" x14ac:dyDescent="0.25">
      <c r="A121" s="9">
        <v>2013</v>
      </c>
      <c r="B121" s="10" t="s">
        <v>19</v>
      </c>
      <c r="C121" s="7">
        <f t="shared" si="37"/>
        <v>40275</v>
      </c>
      <c r="D121" s="3">
        <v>450</v>
      </c>
      <c r="E121" s="3">
        <v>125</v>
      </c>
      <c r="F121" s="3">
        <v>4000</v>
      </c>
      <c r="G121" s="3">
        <v>1000</v>
      </c>
      <c r="H121" s="3">
        <v>600</v>
      </c>
      <c r="I121" s="3">
        <v>1250</v>
      </c>
      <c r="J121" s="3">
        <v>5000</v>
      </c>
      <c r="K121" s="3">
        <v>1250</v>
      </c>
      <c r="L121" s="3">
        <v>7000</v>
      </c>
      <c r="M121" s="3">
        <v>350</v>
      </c>
      <c r="N121" s="3">
        <v>350</v>
      </c>
      <c r="O121" s="3">
        <v>900</v>
      </c>
      <c r="P121" s="3">
        <v>1250</v>
      </c>
      <c r="Q121" s="3">
        <v>1500</v>
      </c>
      <c r="R121" s="3">
        <v>1250</v>
      </c>
      <c r="S121" s="3">
        <v>4000</v>
      </c>
      <c r="T121" s="3">
        <v>8000</v>
      </c>
      <c r="U121" s="3">
        <v>2000</v>
      </c>
    </row>
    <row r="122" spans="1:21" x14ac:dyDescent="0.25">
      <c r="A122" s="9">
        <v>2013</v>
      </c>
      <c r="B122" s="10" t="s">
        <v>20</v>
      </c>
      <c r="C122" s="7">
        <f t="shared" si="37"/>
        <v>33150</v>
      </c>
      <c r="D122" s="3">
        <v>800</v>
      </c>
      <c r="E122" s="3">
        <v>1750</v>
      </c>
      <c r="F122" s="3">
        <v>7000</v>
      </c>
      <c r="G122" s="3">
        <v>1750</v>
      </c>
      <c r="H122" s="3">
        <v>600</v>
      </c>
      <c r="I122" s="3">
        <v>1250</v>
      </c>
      <c r="J122" s="3">
        <v>2000</v>
      </c>
      <c r="K122" s="3">
        <v>3000</v>
      </c>
      <c r="L122" s="3">
        <v>2000</v>
      </c>
      <c r="M122" s="3">
        <v>350</v>
      </c>
      <c r="N122" s="3">
        <v>200</v>
      </c>
      <c r="O122" s="3">
        <v>400</v>
      </c>
      <c r="P122" s="3">
        <v>2250</v>
      </c>
      <c r="Q122" s="3">
        <v>2500</v>
      </c>
      <c r="R122" s="3">
        <v>600</v>
      </c>
      <c r="S122" s="3">
        <v>3500</v>
      </c>
      <c r="T122" s="3">
        <v>2500</v>
      </c>
      <c r="U122" s="3">
        <v>700</v>
      </c>
    </row>
    <row r="123" spans="1:21" x14ac:dyDescent="0.25">
      <c r="A123" s="9">
        <v>2013</v>
      </c>
      <c r="B123" s="10" t="s">
        <v>21</v>
      </c>
      <c r="C123" s="7">
        <f t="shared" si="37"/>
        <v>241400</v>
      </c>
      <c r="D123" s="3">
        <v>150</v>
      </c>
      <c r="E123" s="3">
        <v>1750</v>
      </c>
      <c r="F123" s="3">
        <v>22000</v>
      </c>
      <c r="G123" s="3">
        <v>8000</v>
      </c>
      <c r="H123" s="3">
        <v>5000</v>
      </c>
      <c r="I123" s="3">
        <v>10000</v>
      </c>
      <c r="J123" s="3">
        <v>25000</v>
      </c>
      <c r="K123" s="3">
        <v>9000</v>
      </c>
      <c r="L123" s="3">
        <v>13000</v>
      </c>
      <c r="M123" s="3">
        <v>10000</v>
      </c>
      <c r="N123" s="3">
        <v>9000</v>
      </c>
      <c r="O123" s="3">
        <v>3500</v>
      </c>
      <c r="P123" s="3">
        <v>15000</v>
      </c>
      <c r="Q123" s="3">
        <v>17000</v>
      </c>
      <c r="R123" s="3">
        <v>13000</v>
      </c>
      <c r="S123" s="3">
        <v>31000</v>
      </c>
      <c r="T123" s="3">
        <v>40000</v>
      </c>
      <c r="U123" s="3">
        <v>9000</v>
      </c>
    </row>
    <row r="124" spans="1:21" x14ac:dyDescent="0.25">
      <c r="A124" s="9">
        <v>2013</v>
      </c>
      <c r="B124" s="10" t="s">
        <v>22</v>
      </c>
      <c r="C124" s="7">
        <f t="shared" si="37"/>
        <v>136150</v>
      </c>
      <c r="D124" s="3">
        <v>150</v>
      </c>
      <c r="E124" s="3">
        <v>2000</v>
      </c>
      <c r="F124" s="3">
        <v>16000</v>
      </c>
      <c r="G124" s="3">
        <v>5000</v>
      </c>
      <c r="H124" s="3">
        <v>3500</v>
      </c>
      <c r="I124" s="3">
        <v>7000</v>
      </c>
      <c r="J124" s="3">
        <v>13000</v>
      </c>
      <c r="K124" s="3">
        <v>14000</v>
      </c>
      <c r="L124" s="3">
        <v>8000</v>
      </c>
      <c r="M124" s="3">
        <v>2000</v>
      </c>
      <c r="N124" s="3">
        <v>1750</v>
      </c>
      <c r="O124" s="3">
        <v>2250</v>
      </c>
      <c r="P124" s="3">
        <v>6000</v>
      </c>
      <c r="Q124" s="3">
        <v>11000</v>
      </c>
      <c r="R124" s="3">
        <v>9000</v>
      </c>
      <c r="S124" s="3">
        <v>12000</v>
      </c>
      <c r="T124" s="3">
        <v>19000</v>
      </c>
      <c r="U124" s="3">
        <v>4500</v>
      </c>
    </row>
    <row r="125" spans="1:21" x14ac:dyDescent="0.25">
      <c r="A125" s="9">
        <v>2013</v>
      </c>
      <c r="B125" s="10" t="s">
        <v>23</v>
      </c>
      <c r="C125" s="7">
        <f t="shared" si="37"/>
        <v>100875</v>
      </c>
      <c r="D125" s="3">
        <v>175</v>
      </c>
      <c r="E125" s="3">
        <v>450</v>
      </c>
      <c r="F125" s="3">
        <v>4000</v>
      </c>
      <c r="G125" s="3">
        <v>3500</v>
      </c>
      <c r="H125" s="3">
        <v>1500</v>
      </c>
      <c r="I125" s="3">
        <v>2500</v>
      </c>
      <c r="J125" s="3">
        <v>12000</v>
      </c>
      <c r="K125" s="3">
        <v>9000</v>
      </c>
      <c r="L125" s="3">
        <v>10000</v>
      </c>
      <c r="M125" s="3">
        <v>2500</v>
      </c>
      <c r="N125" s="3">
        <v>4000</v>
      </c>
      <c r="O125" s="3">
        <v>1750</v>
      </c>
      <c r="P125" s="3">
        <v>7000</v>
      </c>
      <c r="Q125" s="3">
        <v>6000</v>
      </c>
      <c r="R125" s="3">
        <v>5000</v>
      </c>
      <c r="S125" s="3">
        <v>12000</v>
      </c>
      <c r="T125" s="3">
        <v>15000</v>
      </c>
      <c r="U125" s="3">
        <v>4500</v>
      </c>
    </row>
    <row r="126" spans="1:21" x14ac:dyDescent="0.25">
      <c r="A126" s="9">
        <v>2013</v>
      </c>
      <c r="B126" s="4" t="s">
        <v>25</v>
      </c>
      <c r="C126" s="7">
        <f t="shared" si="37"/>
        <v>2190655</v>
      </c>
      <c r="D126" s="5">
        <f>SUM(D105:D125)</f>
        <v>12105</v>
      </c>
      <c r="E126" s="5">
        <f t="shared" ref="E126" si="55">SUM(E105:E125)</f>
        <v>28525</v>
      </c>
      <c r="F126" s="5">
        <f t="shared" ref="F126" si="56">SUM(F105:F125)</f>
        <v>248500</v>
      </c>
      <c r="G126" s="5">
        <f t="shared" ref="G126" si="57">SUM(G105:G125)</f>
        <v>89700</v>
      </c>
      <c r="H126" s="5">
        <f t="shared" ref="H126" si="58">SUM(H105:H125)</f>
        <v>47750</v>
      </c>
      <c r="I126" s="5">
        <f t="shared" ref="I126" si="59">SUM(I105:I125)</f>
        <v>91450</v>
      </c>
      <c r="J126" s="5">
        <f t="shared" ref="J126" si="60">SUM(J105:J125)</f>
        <v>209250</v>
      </c>
      <c r="K126" s="5">
        <f t="shared" ref="K126" si="61">SUM(K105:K125)</f>
        <v>111150</v>
      </c>
      <c r="L126" s="5">
        <f t="shared" ref="L126" si="62">SUM(L105:L125)</f>
        <v>133750</v>
      </c>
      <c r="M126" s="5">
        <f t="shared" ref="M126" si="63">SUM(M105:M125)</f>
        <v>53075</v>
      </c>
      <c r="N126" s="5">
        <f t="shared" ref="N126" si="64">SUM(N105:N125)</f>
        <v>66050</v>
      </c>
      <c r="O126" s="5">
        <f t="shared" ref="O126" si="65">SUM(O105:O125)</f>
        <v>34400</v>
      </c>
      <c r="P126" s="5">
        <f t="shared" ref="P126" si="66">SUM(P105:P125)</f>
        <v>143900</v>
      </c>
      <c r="Q126" s="5">
        <f t="shared" ref="Q126" si="67">SUM(Q105:Q125)</f>
        <v>182800</v>
      </c>
      <c r="R126" s="5">
        <f t="shared" ref="R126" si="68">SUM(R105:R125)</f>
        <v>109800</v>
      </c>
      <c r="S126" s="5">
        <f t="shared" ref="S126" si="69">SUM(S105:S125)</f>
        <v>230000</v>
      </c>
      <c r="T126" s="5">
        <f t="shared" ref="T126" si="70">SUM(T105:T125)</f>
        <v>314250</v>
      </c>
      <c r="U126" s="5">
        <f t="shared" ref="U126" si="71">SUM(U105:U125)</f>
        <v>84200</v>
      </c>
    </row>
    <row r="127" spans="1:21" x14ac:dyDescent="0.25">
      <c r="A127" s="9">
        <v>2014</v>
      </c>
      <c r="B127" s="10" t="s">
        <v>27</v>
      </c>
      <c r="C127" s="7">
        <f t="shared" si="37"/>
        <v>257500</v>
      </c>
      <c r="D127" s="3">
        <v>7000</v>
      </c>
      <c r="E127" s="3">
        <v>3500</v>
      </c>
      <c r="F127" s="3">
        <v>28000</v>
      </c>
      <c r="G127" s="3">
        <v>12000</v>
      </c>
      <c r="H127" s="3">
        <v>5000</v>
      </c>
      <c r="I127" s="3">
        <v>12000</v>
      </c>
      <c r="J127" s="3">
        <v>24000</v>
      </c>
      <c r="K127" s="3">
        <v>10000</v>
      </c>
      <c r="L127" s="3">
        <v>31000</v>
      </c>
      <c r="M127" s="3">
        <v>5000</v>
      </c>
      <c r="N127" s="3">
        <v>7000</v>
      </c>
      <c r="O127" s="3">
        <v>4000</v>
      </c>
      <c r="P127" s="3">
        <v>16000</v>
      </c>
      <c r="Q127" s="3">
        <v>17000</v>
      </c>
      <c r="R127" s="3">
        <v>10000</v>
      </c>
      <c r="S127" s="3">
        <v>21000</v>
      </c>
      <c r="T127" s="3">
        <v>33000</v>
      </c>
      <c r="U127" s="3">
        <v>12000</v>
      </c>
    </row>
    <row r="128" spans="1:21" x14ac:dyDescent="0.25">
      <c r="A128" s="9">
        <v>2014</v>
      </c>
      <c r="B128" s="10" t="s">
        <v>11</v>
      </c>
      <c r="C128" s="7">
        <f t="shared" si="37"/>
        <v>540000</v>
      </c>
      <c r="D128" s="3">
        <v>1000</v>
      </c>
      <c r="E128" s="3">
        <v>6000</v>
      </c>
      <c r="F128" s="3">
        <v>59000</v>
      </c>
      <c r="G128" s="3">
        <v>26000</v>
      </c>
      <c r="H128" s="3">
        <v>11000</v>
      </c>
      <c r="I128" s="3">
        <v>20000</v>
      </c>
      <c r="J128" s="3">
        <v>55000</v>
      </c>
      <c r="K128" s="3">
        <v>27000</v>
      </c>
      <c r="L128" s="3">
        <v>32000</v>
      </c>
      <c r="M128" s="3">
        <v>15000</v>
      </c>
      <c r="N128" s="3">
        <v>15000</v>
      </c>
      <c r="O128" s="3">
        <v>6000</v>
      </c>
      <c r="P128" s="3">
        <v>25000</v>
      </c>
      <c r="Q128" s="3">
        <v>48000</v>
      </c>
      <c r="R128" s="3">
        <v>26000</v>
      </c>
      <c r="S128" s="3">
        <v>60000</v>
      </c>
      <c r="T128" s="3">
        <v>88000</v>
      </c>
      <c r="U128" s="3">
        <v>20000</v>
      </c>
    </row>
    <row r="129" spans="1:21" x14ac:dyDescent="0.25">
      <c r="A129" s="9">
        <v>2014</v>
      </c>
      <c r="B129" s="10" t="s">
        <v>12</v>
      </c>
      <c r="C129" s="7">
        <f t="shared" si="37"/>
        <v>989500</v>
      </c>
      <c r="D129" s="3">
        <v>1500</v>
      </c>
      <c r="E129" s="3">
        <v>12000</v>
      </c>
      <c r="F129" s="3">
        <v>111000</v>
      </c>
      <c r="G129" s="3">
        <v>41000</v>
      </c>
      <c r="H129" s="3">
        <v>19000</v>
      </c>
      <c r="I129" s="3">
        <v>44000</v>
      </c>
      <c r="J129" s="3">
        <v>88000</v>
      </c>
      <c r="K129" s="3">
        <v>44000</v>
      </c>
      <c r="L129" s="3">
        <v>57000</v>
      </c>
      <c r="M129" s="3">
        <v>31000</v>
      </c>
      <c r="N129" s="3">
        <v>46000</v>
      </c>
      <c r="O129" s="3">
        <v>16000</v>
      </c>
      <c r="P129" s="3">
        <v>67000</v>
      </c>
      <c r="Q129" s="3">
        <v>94000</v>
      </c>
      <c r="R129" s="3">
        <v>46000</v>
      </c>
      <c r="S129" s="3">
        <v>99000</v>
      </c>
      <c r="T129" s="3">
        <v>134000</v>
      </c>
      <c r="U129" s="3">
        <v>39000</v>
      </c>
    </row>
    <row r="130" spans="1:21" x14ac:dyDescent="0.25">
      <c r="A130" s="9">
        <v>2014</v>
      </c>
      <c r="B130" s="10" t="s">
        <v>3</v>
      </c>
      <c r="C130" s="7">
        <f t="shared" si="37"/>
        <v>76000</v>
      </c>
      <c r="D130" s="3">
        <v>250</v>
      </c>
      <c r="E130" s="3">
        <v>500</v>
      </c>
      <c r="F130" s="3">
        <v>12000</v>
      </c>
      <c r="G130" s="3">
        <v>4500</v>
      </c>
      <c r="H130" s="3">
        <v>1750</v>
      </c>
      <c r="I130" s="3">
        <v>2250</v>
      </c>
      <c r="J130" s="3">
        <v>7000</v>
      </c>
      <c r="K130" s="3">
        <v>5000</v>
      </c>
      <c r="L130" s="3">
        <v>5000</v>
      </c>
      <c r="M130" s="3">
        <v>1250</v>
      </c>
      <c r="N130" s="3">
        <v>1500</v>
      </c>
      <c r="O130" s="3">
        <v>1000</v>
      </c>
      <c r="P130" s="3">
        <v>2500</v>
      </c>
      <c r="Q130" s="3">
        <v>7000</v>
      </c>
      <c r="R130" s="3">
        <v>3000</v>
      </c>
      <c r="S130" s="3">
        <v>7000</v>
      </c>
      <c r="T130" s="3">
        <v>12000</v>
      </c>
      <c r="U130" s="3">
        <v>2500</v>
      </c>
    </row>
    <row r="131" spans="1:21" x14ac:dyDescent="0.25">
      <c r="A131" s="9">
        <v>2014</v>
      </c>
      <c r="B131" s="10" t="s">
        <v>5</v>
      </c>
      <c r="C131" s="7">
        <f t="shared" si="37"/>
        <v>190300</v>
      </c>
      <c r="D131" s="3">
        <v>300</v>
      </c>
      <c r="E131" s="3">
        <v>3000</v>
      </c>
      <c r="F131" s="3">
        <v>24000</v>
      </c>
      <c r="G131" s="3">
        <v>6000</v>
      </c>
      <c r="H131" s="3">
        <v>4000</v>
      </c>
      <c r="I131" s="3">
        <v>9000</v>
      </c>
      <c r="J131" s="3">
        <v>19000</v>
      </c>
      <c r="K131" s="3">
        <v>7000</v>
      </c>
      <c r="L131" s="3">
        <v>9000</v>
      </c>
      <c r="M131" s="3">
        <v>6000</v>
      </c>
      <c r="N131" s="3">
        <v>8000</v>
      </c>
      <c r="O131" s="3">
        <v>3000</v>
      </c>
      <c r="P131" s="3">
        <v>11000</v>
      </c>
      <c r="Q131" s="3">
        <v>10000</v>
      </c>
      <c r="R131" s="3">
        <v>10000</v>
      </c>
      <c r="S131" s="3">
        <v>23000</v>
      </c>
      <c r="T131" s="3">
        <v>31000</v>
      </c>
      <c r="U131" s="3">
        <v>7000</v>
      </c>
    </row>
    <row r="132" spans="1:21" x14ac:dyDescent="0.25">
      <c r="A132" s="9">
        <v>2014</v>
      </c>
      <c r="B132" s="10" t="s">
        <v>4</v>
      </c>
      <c r="C132" s="7">
        <f t="shared" si="37"/>
        <v>92425</v>
      </c>
      <c r="D132" s="3">
        <v>175</v>
      </c>
      <c r="E132" s="3">
        <v>500</v>
      </c>
      <c r="F132" s="3">
        <v>14000</v>
      </c>
      <c r="G132" s="3">
        <v>4000</v>
      </c>
      <c r="H132" s="3">
        <v>1500</v>
      </c>
      <c r="I132" s="3">
        <v>4000</v>
      </c>
      <c r="J132" s="3">
        <v>7000</v>
      </c>
      <c r="K132" s="3">
        <v>2500</v>
      </c>
      <c r="L132" s="3">
        <v>5000</v>
      </c>
      <c r="M132" s="3">
        <v>2000</v>
      </c>
      <c r="N132" s="3">
        <v>8000</v>
      </c>
      <c r="O132" s="3">
        <v>1250</v>
      </c>
      <c r="P132" s="3">
        <v>3500</v>
      </c>
      <c r="Q132" s="3">
        <v>15000</v>
      </c>
      <c r="R132" s="3">
        <v>3500</v>
      </c>
      <c r="S132" s="3">
        <v>7000</v>
      </c>
      <c r="T132" s="3">
        <v>10000</v>
      </c>
      <c r="U132" s="3">
        <v>3500</v>
      </c>
    </row>
    <row r="133" spans="1:21" x14ac:dyDescent="0.25">
      <c r="A133" s="9">
        <v>2014</v>
      </c>
      <c r="B133" s="10" t="s">
        <v>6</v>
      </c>
      <c r="C133" s="7">
        <f t="shared" si="37"/>
        <v>27400</v>
      </c>
      <c r="D133" s="3">
        <v>600</v>
      </c>
      <c r="E133" s="3">
        <v>150</v>
      </c>
      <c r="F133" s="3">
        <v>2500</v>
      </c>
      <c r="G133" s="3">
        <v>1500</v>
      </c>
      <c r="H133" s="3">
        <v>500</v>
      </c>
      <c r="I133" s="3">
        <v>1250</v>
      </c>
      <c r="J133" s="3">
        <v>2500</v>
      </c>
      <c r="K133" s="3">
        <v>700</v>
      </c>
      <c r="L133" s="3">
        <v>3000</v>
      </c>
      <c r="M133" s="3">
        <v>500</v>
      </c>
      <c r="N133" s="3">
        <v>2500</v>
      </c>
      <c r="O133" s="3">
        <v>350</v>
      </c>
      <c r="P133" s="3">
        <v>2250</v>
      </c>
      <c r="Q133" s="3">
        <v>2500</v>
      </c>
      <c r="R133" s="3">
        <v>600</v>
      </c>
      <c r="S133" s="3">
        <v>2500</v>
      </c>
      <c r="T133" s="3">
        <v>2250</v>
      </c>
      <c r="U133" s="3">
        <v>1250</v>
      </c>
    </row>
    <row r="134" spans="1:21" x14ac:dyDescent="0.25">
      <c r="A134" s="9">
        <v>2014</v>
      </c>
      <c r="B134" s="10" t="s">
        <v>7</v>
      </c>
      <c r="C134" s="7">
        <f t="shared" si="37"/>
        <v>113500</v>
      </c>
      <c r="D134" s="3">
        <v>350</v>
      </c>
      <c r="E134" s="3">
        <v>1750</v>
      </c>
      <c r="F134" s="3">
        <v>10000</v>
      </c>
      <c r="G134" s="3">
        <v>6000</v>
      </c>
      <c r="H134" s="3">
        <v>3000</v>
      </c>
      <c r="I134" s="3">
        <v>4000</v>
      </c>
      <c r="J134" s="3">
        <v>13000</v>
      </c>
      <c r="K134" s="3">
        <v>8000</v>
      </c>
      <c r="L134" s="3">
        <v>7000</v>
      </c>
      <c r="M134" s="3">
        <v>1500</v>
      </c>
      <c r="N134" s="3">
        <v>2500</v>
      </c>
      <c r="O134" s="3">
        <v>900</v>
      </c>
      <c r="P134" s="3">
        <v>4500</v>
      </c>
      <c r="Q134" s="3">
        <v>10000</v>
      </c>
      <c r="R134" s="3">
        <v>4500</v>
      </c>
      <c r="S134" s="3">
        <v>11000</v>
      </c>
      <c r="T134" s="3">
        <v>21000</v>
      </c>
      <c r="U134" s="3">
        <v>4500</v>
      </c>
    </row>
    <row r="135" spans="1:21" x14ac:dyDescent="0.25">
      <c r="A135" s="9">
        <v>2014</v>
      </c>
      <c r="B135" s="10" t="s">
        <v>26</v>
      </c>
      <c r="C135" s="7">
        <f t="shared" si="37"/>
        <v>115750</v>
      </c>
      <c r="D135" s="3">
        <v>3000</v>
      </c>
      <c r="E135" s="3">
        <v>1250</v>
      </c>
      <c r="F135" s="3">
        <v>15000</v>
      </c>
      <c r="G135" s="3">
        <v>5000</v>
      </c>
      <c r="H135" s="3">
        <v>3000</v>
      </c>
      <c r="I135" s="3">
        <v>4500</v>
      </c>
      <c r="J135" s="3">
        <v>12000</v>
      </c>
      <c r="K135" s="3">
        <v>5000</v>
      </c>
      <c r="L135" s="3">
        <v>10000</v>
      </c>
      <c r="M135" s="3">
        <v>2500</v>
      </c>
      <c r="N135" s="3">
        <v>1500</v>
      </c>
      <c r="O135" s="3">
        <v>1500</v>
      </c>
      <c r="P135" s="3">
        <v>5000</v>
      </c>
      <c r="Q135" s="3">
        <v>5000</v>
      </c>
      <c r="R135" s="3">
        <v>10000</v>
      </c>
      <c r="S135" s="3">
        <v>11000</v>
      </c>
      <c r="T135" s="3">
        <v>16000</v>
      </c>
      <c r="U135" s="3">
        <v>4500</v>
      </c>
    </row>
    <row r="136" spans="1:21" x14ac:dyDescent="0.25">
      <c r="A136" s="9">
        <v>2014</v>
      </c>
      <c r="B136" s="10" t="s">
        <v>8</v>
      </c>
      <c r="C136" s="7">
        <f t="shared" si="37"/>
        <v>39300</v>
      </c>
      <c r="D136" s="3">
        <v>1500</v>
      </c>
      <c r="E136" s="3">
        <v>450</v>
      </c>
      <c r="F136" s="3">
        <v>4500</v>
      </c>
      <c r="G136" s="3">
        <v>2250</v>
      </c>
      <c r="H136" s="3">
        <v>800</v>
      </c>
      <c r="I136" s="3">
        <v>2000</v>
      </c>
      <c r="J136" s="3">
        <v>3500</v>
      </c>
      <c r="K136" s="3">
        <v>1500</v>
      </c>
      <c r="L136" s="3">
        <v>4000</v>
      </c>
      <c r="M136" s="3">
        <v>700</v>
      </c>
      <c r="N136" s="3">
        <v>500</v>
      </c>
      <c r="O136" s="3">
        <v>600</v>
      </c>
      <c r="P136" s="3">
        <v>2000</v>
      </c>
      <c r="Q136" s="3">
        <v>2250</v>
      </c>
      <c r="R136" s="3">
        <v>3500</v>
      </c>
      <c r="S136" s="3">
        <v>2500</v>
      </c>
      <c r="T136" s="3">
        <v>5000</v>
      </c>
      <c r="U136" s="3">
        <v>1750</v>
      </c>
    </row>
    <row r="137" spans="1:21" x14ac:dyDescent="0.25">
      <c r="A137" s="9">
        <v>2014</v>
      </c>
      <c r="B137" s="10" t="s">
        <v>9</v>
      </c>
      <c r="C137" s="7">
        <f t="shared" si="37"/>
        <v>77650</v>
      </c>
      <c r="D137" s="3">
        <v>1250</v>
      </c>
      <c r="E137" s="3">
        <v>400</v>
      </c>
      <c r="F137" s="3">
        <v>4500</v>
      </c>
      <c r="G137" s="3">
        <v>3000</v>
      </c>
      <c r="H137" s="3">
        <v>1500</v>
      </c>
      <c r="I137" s="3">
        <v>4500</v>
      </c>
      <c r="J137" s="3">
        <v>8000</v>
      </c>
      <c r="K137" s="3">
        <v>3000</v>
      </c>
      <c r="L137" s="3">
        <v>9000</v>
      </c>
      <c r="M137" s="3">
        <v>2500</v>
      </c>
      <c r="N137" s="3">
        <v>3000</v>
      </c>
      <c r="O137" s="3">
        <v>1250</v>
      </c>
      <c r="P137" s="3">
        <v>7000</v>
      </c>
      <c r="Q137" s="3">
        <v>6000</v>
      </c>
      <c r="R137" s="3">
        <v>2250</v>
      </c>
      <c r="S137" s="3">
        <v>6000</v>
      </c>
      <c r="T137" s="3">
        <v>11000</v>
      </c>
      <c r="U137" s="3">
        <v>3500</v>
      </c>
    </row>
    <row r="138" spans="1:21" x14ac:dyDescent="0.25">
      <c r="A138" s="9">
        <v>2014</v>
      </c>
      <c r="B138" s="10" t="s">
        <v>10</v>
      </c>
      <c r="C138" s="7">
        <f t="shared" si="37"/>
        <v>116020</v>
      </c>
      <c r="D138" s="3">
        <v>20</v>
      </c>
      <c r="E138" s="3">
        <v>1250</v>
      </c>
      <c r="F138" s="3">
        <v>20000</v>
      </c>
      <c r="G138" s="3">
        <v>5000</v>
      </c>
      <c r="H138" s="3">
        <v>2250</v>
      </c>
      <c r="I138" s="3">
        <v>5000</v>
      </c>
      <c r="J138" s="3">
        <v>12000</v>
      </c>
      <c r="K138" s="3">
        <v>4500</v>
      </c>
      <c r="L138" s="3">
        <v>6000</v>
      </c>
      <c r="M138" s="3">
        <v>2250</v>
      </c>
      <c r="N138" s="3">
        <v>1250</v>
      </c>
      <c r="O138" s="3">
        <v>1000</v>
      </c>
      <c r="P138" s="3">
        <v>3500</v>
      </c>
      <c r="Q138" s="3">
        <v>13000</v>
      </c>
      <c r="R138" s="3">
        <v>6000</v>
      </c>
      <c r="S138" s="3">
        <v>11000</v>
      </c>
      <c r="T138" s="3">
        <v>18000</v>
      </c>
      <c r="U138" s="3">
        <v>4000</v>
      </c>
    </row>
    <row r="139" spans="1:21" x14ac:dyDescent="0.25">
      <c r="A139" s="9">
        <v>2014</v>
      </c>
      <c r="B139" s="10" t="s">
        <v>13</v>
      </c>
      <c r="C139" s="7">
        <f t="shared" si="37"/>
        <v>152050</v>
      </c>
      <c r="D139" s="3">
        <v>300</v>
      </c>
      <c r="E139" s="3">
        <v>1250</v>
      </c>
      <c r="F139" s="3">
        <v>28000</v>
      </c>
      <c r="G139" s="3">
        <v>8000</v>
      </c>
      <c r="H139" s="3">
        <v>3500</v>
      </c>
      <c r="I139" s="3">
        <v>7000</v>
      </c>
      <c r="J139" s="3">
        <v>17000</v>
      </c>
      <c r="K139" s="3">
        <v>6000</v>
      </c>
      <c r="L139" s="3">
        <v>8000</v>
      </c>
      <c r="M139" s="3">
        <v>3000</v>
      </c>
      <c r="N139" s="3">
        <v>3000</v>
      </c>
      <c r="O139" s="3">
        <v>2000</v>
      </c>
      <c r="P139" s="3">
        <v>7000</v>
      </c>
      <c r="Q139" s="3">
        <v>8000</v>
      </c>
      <c r="R139" s="3">
        <v>6000</v>
      </c>
      <c r="S139" s="3">
        <v>17000</v>
      </c>
      <c r="T139" s="3">
        <v>21000</v>
      </c>
      <c r="U139" s="3">
        <v>6000</v>
      </c>
    </row>
    <row r="140" spans="1:21" x14ac:dyDescent="0.25">
      <c r="A140" s="9">
        <v>2014</v>
      </c>
      <c r="B140" s="10" t="s">
        <v>14</v>
      </c>
      <c r="C140" s="7">
        <f t="shared" si="37"/>
        <v>412600</v>
      </c>
      <c r="D140" s="3">
        <v>600</v>
      </c>
      <c r="E140" s="3">
        <v>5000</v>
      </c>
      <c r="F140" s="3">
        <v>28000</v>
      </c>
      <c r="G140" s="3">
        <v>16000</v>
      </c>
      <c r="H140" s="3">
        <v>6000</v>
      </c>
      <c r="I140" s="3">
        <v>17000</v>
      </c>
      <c r="J140" s="3">
        <v>32000</v>
      </c>
      <c r="K140" s="3">
        <v>16000</v>
      </c>
      <c r="L140" s="3">
        <v>25000</v>
      </c>
      <c r="M140" s="3">
        <v>18000</v>
      </c>
      <c r="N140" s="3">
        <v>25000</v>
      </c>
      <c r="O140" s="3">
        <v>7000</v>
      </c>
      <c r="P140" s="3">
        <v>40000</v>
      </c>
      <c r="Q140" s="3">
        <v>49000</v>
      </c>
      <c r="R140" s="3">
        <v>18000</v>
      </c>
      <c r="S140" s="3">
        <v>40000</v>
      </c>
      <c r="T140" s="3">
        <v>51000</v>
      </c>
      <c r="U140" s="3">
        <v>19000</v>
      </c>
    </row>
    <row r="141" spans="1:21" x14ac:dyDescent="0.25">
      <c r="A141" s="9">
        <v>2014</v>
      </c>
      <c r="B141" s="10" t="s">
        <v>15</v>
      </c>
      <c r="C141" s="7">
        <f t="shared" si="37"/>
        <v>66250</v>
      </c>
      <c r="D141" s="3">
        <v>200</v>
      </c>
      <c r="E141" s="3">
        <v>700</v>
      </c>
      <c r="F141" s="3">
        <v>10000</v>
      </c>
      <c r="G141" s="3">
        <v>2500</v>
      </c>
      <c r="H141" s="3">
        <v>1750</v>
      </c>
      <c r="I141" s="3">
        <v>2250</v>
      </c>
      <c r="J141" s="3">
        <v>8000</v>
      </c>
      <c r="K141" s="3">
        <v>5000</v>
      </c>
      <c r="L141" s="3">
        <v>4500</v>
      </c>
      <c r="M141" s="3">
        <v>700</v>
      </c>
      <c r="N141" s="3">
        <v>1500</v>
      </c>
      <c r="O141" s="3">
        <v>900</v>
      </c>
      <c r="P141" s="3">
        <v>2500</v>
      </c>
      <c r="Q141" s="3">
        <v>4000</v>
      </c>
      <c r="R141" s="3">
        <v>2500</v>
      </c>
      <c r="S141" s="3">
        <v>6000</v>
      </c>
      <c r="T141" s="3">
        <v>11000</v>
      </c>
      <c r="U141" s="3">
        <v>2250</v>
      </c>
    </row>
    <row r="142" spans="1:21" x14ac:dyDescent="0.25">
      <c r="A142" s="9">
        <v>2014</v>
      </c>
      <c r="B142" s="10" t="s">
        <v>16</v>
      </c>
      <c r="C142" s="7">
        <f t="shared" si="37"/>
        <v>69400</v>
      </c>
      <c r="D142" s="3">
        <v>800</v>
      </c>
      <c r="E142" s="3">
        <v>2000</v>
      </c>
      <c r="F142" s="3">
        <v>14000</v>
      </c>
      <c r="G142" s="3">
        <v>5000</v>
      </c>
      <c r="H142" s="3">
        <v>2000</v>
      </c>
      <c r="I142" s="3">
        <v>2500</v>
      </c>
      <c r="J142" s="3">
        <v>6000</v>
      </c>
      <c r="K142" s="3">
        <v>5000</v>
      </c>
      <c r="L142" s="3">
        <v>4000</v>
      </c>
      <c r="M142" s="3">
        <v>450</v>
      </c>
      <c r="N142" s="3">
        <v>700</v>
      </c>
      <c r="O142" s="3">
        <v>700</v>
      </c>
      <c r="P142" s="3">
        <v>2500</v>
      </c>
      <c r="Q142" s="3">
        <v>4500</v>
      </c>
      <c r="R142" s="3">
        <v>2500</v>
      </c>
      <c r="S142" s="3">
        <v>6000</v>
      </c>
      <c r="T142" s="3">
        <v>9000</v>
      </c>
      <c r="U142" s="3">
        <v>1750</v>
      </c>
    </row>
    <row r="143" spans="1:21" x14ac:dyDescent="0.25">
      <c r="A143" s="9">
        <v>2014</v>
      </c>
      <c r="B143" s="10" t="s">
        <v>24</v>
      </c>
      <c r="C143" s="7">
        <f t="shared" si="37"/>
        <v>16675</v>
      </c>
      <c r="D143" s="3">
        <v>1000</v>
      </c>
      <c r="E143" s="3">
        <v>175</v>
      </c>
      <c r="F143" s="3">
        <v>900</v>
      </c>
      <c r="G143" s="3">
        <v>800</v>
      </c>
      <c r="H143" s="3">
        <v>350</v>
      </c>
      <c r="I143" s="3">
        <v>600</v>
      </c>
      <c r="J143" s="3">
        <v>1500</v>
      </c>
      <c r="K143" s="3">
        <v>600</v>
      </c>
      <c r="L143" s="3">
        <v>2500</v>
      </c>
      <c r="M143" s="3">
        <v>225</v>
      </c>
      <c r="N143" s="3">
        <v>175</v>
      </c>
      <c r="O143" s="3">
        <v>500</v>
      </c>
      <c r="P143" s="3">
        <v>800</v>
      </c>
      <c r="Q143" s="3">
        <v>1500</v>
      </c>
      <c r="R143" s="3">
        <v>800</v>
      </c>
      <c r="S143" s="3">
        <v>1500</v>
      </c>
      <c r="T143" s="3">
        <v>1500</v>
      </c>
      <c r="U143" s="3">
        <v>1250</v>
      </c>
    </row>
    <row r="144" spans="1:21" x14ac:dyDescent="0.25">
      <c r="A144" s="9">
        <v>2014</v>
      </c>
      <c r="B144" s="10" t="s">
        <v>17</v>
      </c>
      <c r="C144" s="7">
        <f t="shared" si="37"/>
        <v>97375</v>
      </c>
      <c r="D144" s="3">
        <v>175</v>
      </c>
      <c r="E144" s="3">
        <v>1500</v>
      </c>
      <c r="F144" s="3">
        <v>14000</v>
      </c>
      <c r="G144" s="3">
        <v>6000</v>
      </c>
      <c r="H144" s="3">
        <v>1750</v>
      </c>
      <c r="I144" s="3">
        <v>3500</v>
      </c>
      <c r="J144" s="3">
        <v>9000</v>
      </c>
      <c r="K144" s="3">
        <v>4500</v>
      </c>
      <c r="L144" s="3">
        <v>5000</v>
      </c>
      <c r="M144" s="3">
        <v>1750</v>
      </c>
      <c r="N144" s="3">
        <v>2000</v>
      </c>
      <c r="O144" s="3">
        <v>700</v>
      </c>
      <c r="P144" s="3">
        <v>3000</v>
      </c>
      <c r="Q144" s="3">
        <v>12000</v>
      </c>
      <c r="R144" s="3">
        <v>6000</v>
      </c>
      <c r="S144" s="3">
        <v>10000</v>
      </c>
      <c r="T144" s="3">
        <v>13000</v>
      </c>
      <c r="U144" s="3">
        <v>3500</v>
      </c>
    </row>
    <row r="145" spans="1:21" x14ac:dyDescent="0.25">
      <c r="A145" s="9">
        <v>2014</v>
      </c>
      <c r="B145" s="10" t="s">
        <v>18</v>
      </c>
      <c r="C145" s="7">
        <f t="shared" si="37"/>
        <v>24200</v>
      </c>
      <c r="D145" s="3">
        <v>1250</v>
      </c>
      <c r="E145" s="3">
        <v>175</v>
      </c>
      <c r="F145" s="3">
        <v>4500</v>
      </c>
      <c r="G145" s="3">
        <v>1250</v>
      </c>
      <c r="H145" s="3">
        <v>600</v>
      </c>
      <c r="I145" s="3">
        <v>900</v>
      </c>
      <c r="J145" s="3">
        <v>1750</v>
      </c>
      <c r="K145" s="3">
        <v>700</v>
      </c>
      <c r="L145" s="3">
        <v>3000</v>
      </c>
      <c r="M145" s="3">
        <v>225</v>
      </c>
      <c r="N145" s="3">
        <v>200</v>
      </c>
      <c r="O145" s="3">
        <v>450</v>
      </c>
      <c r="P145" s="3">
        <v>1750</v>
      </c>
      <c r="Q145" s="3">
        <v>900</v>
      </c>
      <c r="R145" s="3">
        <v>800</v>
      </c>
      <c r="S145" s="3">
        <v>2000</v>
      </c>
      <c r="T145" s="3">
        <v>1750</v>
      </c>
      <c r="U145" s="3">
        <v>2000</v>
      </c>
    </row>
    <row r="146" spans="1:21" x14ac:dyDescent="0.25">
      <c r="A146" s="9">
        <v>2014</v>
      </c>
      <c r="B146" s="10" t="s">
        <v>19</v>
      </c>
      <c r="C146" s="7">
        <f t="shared" si="37"/>
        <v>41850</v>
      </c>
      <c r="D146" s="3">
        <v>500</v>
      </c>
      <c r="E146" s="3">
        <v>250</v>
      </c>
      <c r="F146" s="3">
        <v>5000</v>
      </c>
      <c r="G146" s="3">
        <v>1250</v>
      </c>
      <c r="H146" s="3">
        <v>600</v>
      </c>
      <c r="I146" s="3">
        <v>900</v>
      </c>
      <c r="J146" s="3">
        <v>5000</v>
      </c>
      <c r="K146" s="3">
        <v>1250</v>
      </c>
      <c r="L146" s="3">
        <v>8000</v>
      </c>
      <c r="M146" s="3">
        <v>400</v>
      </c>
      <c r="N146" s="3">
        <v>500</v>
      </c>
      <c r="O146" s="3">
        <v>800</v>
      </c>
      <c r="P146" s="3">
        <v>900</v>
      </c>
      <c r="Q146" s="3">
        <v>1750</v>
      </c>
      <c r="R146" s="3">
        <v>1250</v>
      </c>
      <c r="S146" s="3">
        <v>3500</v>
      </c>
      <c r="T146" s="3">
        <v>8000</v>
      </c>
      <c r="U146" s="3">
        <v>2000</v>
      </c>
    </row>
    <row r="147" spans="1:21" x14ac:dyDescent="0.25">
      <c r="A147" s="9">
        <v>2014</v>
      </c>
      <c r="B147" s="10" t="s">
        <v>20</v>
      </c>
      <c r="C147" s="7">
        <f t="shared" si="37"/>
        <v>33700</v>
      </c>
      <c r="D147" s="3">
        <v>900</v>
      </c>
      <c r="E147" s="3">
        <v>1750</v>
      </c>
      <c r="F147" s="3">
        <v>6000</v>
      </c>
      <c r="G147" s="3">
        <v>1750</v>
      </c>
      <c r="H147" s="3">
        <v>600</v>
      </c>
      <c r="I147" s="3">
        <v>1750</v>
      </c>
      <c r="J147" s="3">
        <v>2000</v>
      </c>
      <c r="K147" s="3">
        <v>3000</v>
      </c>
      <c r="L147" s="3">
        <v>2250</v>
      </c>
      <c r="M147" s="3">
        <v>900</v>
      </c>
      <c r="N147" s="3">
        <v>300</v>
      </c>
      <c r="O147" s="3">
        <v>350</v>
      </c>
      <c r="P147" s="3">
        <v>2250</v>
      </c>
      <c r="Q147" s="3">
        <v>2500</v>
      </c>
      <c r="R147" s="3">
        <v>700</v>
      </c>
      <c r="S147" s="3">
        <v>3000</v>
      </c>
      <c r="T147" s="3">
        <v>3000</v>
      </c>
      <c r="U147" s="3">
        <v>700</v>
      </c>
    </row>
    <row r="148" spans="1:21" x14ac:dyDescent="0.25">
      <c r="A148" s="9">
        <v>2014</v>
      </c>
      <c r="B148" s="10" t="s">
        <v>21</v>
      </c>
      <c r="C148" s="7">
        <f t="shared" si="37"/>
        <v>248675</v>
      </c>
      <c r="D148" s="3">
        <v>175</v>
      </c>
      <c r="E148" s="3">
        <v>2000</v>
      </c>
      <c r="F148" s="3">
        <v>23000</v>
      </c>
      <c r="G148" s="3">
        <v>8000</v>
      </c>
      <c r="H148" s="3">
        <v>4500</v>
      </c>
      <c r="I148" s="3">
        <v>10000</v>
      </c>
      <c r="J148" s="3">
        <v>26000</v>
      </c>
      <c r="K148" s="3">
        <v>9000</v>
      </c>
      <c r="L148" s="3">
        <v>15000</v>
      </c>
      <c r="M148" s="3">
        <v>11000</v>
      </c>
      <c r="N148" s="3">
        <v>9000</v>
      </c>
      <c r="O148" s="3">
        <v>3000</v>
      </c>
      <c r="P148" s="3">
        <v>15000</v>
      </c>
      <c r="Q148" s="3">
        <v>18000</v>
      </c>
      <c r="R148" s="3">
        <v>12000</v>
      </c>
      <c r="S148" s="3">
        <v>32000</v>
      </c>
      <c r="T148" s="3">
        <v>42000</v>
      </c>
      <c r="U148" s="3">
        <v>9000</v>
      </c>
    </row>
    <row r="149" spans="1:21" x14ac:dyDescent="0.25">
      <c r="A149" s="9">
        <v>2014</v>
      </c>
      <c r="B149" s="10" t="s">
        <v>22</v>
      </c>
      <c r="C149" s="7">
        <f t="shared" si="37"/>
        <v>142675</v>
      </c>
      <c r="D149" s="3">
        <v>175</v>
      </c>
      <c r="E149" s="3">
        <v>2000</v>
      </c>
      <c r="F149" s="3">
        <v>17000</v>
      </c>
      <c r="G149" s="3">
        <v>6000</v>
      </c>
      <c r="H149" s="3">
        <v>3500</v>
      </c>
      <c r="I149" s="3">
        <v>8000</v>
      </c>
      <c r="J149" s="3">
        <v>13000</v>
      </c>
      <c r="K149" s="3">
        <v>13000</v>
      </c>
      <c r="L149" s="3">
        <v>9000</v>
      </c>
      <c r="M149" s="3">
        <v>2250</v>
      </c>
      <c r="N149" s="3">
        <v>2000</v>
      </c>
      <c r="O149" s="3">
        <v>2250</v>
      </c>
      <c r="P149" s="3">
        <v>6000</v>
      </c>
      <c r="Q149" s="3">
        <v>12000</v>
      </c>
      <c r="R149" s="3">
        <v>9000</v>
      </c>
      <c r="S149" s="3">
        <v>12000</v>
      </c>
      <c r="T149" s="3">
        <v>21000</v>
      </c>
      <c r="U149" s="3">
        <v>4500</v>
      </c>
    </row>
    <row r="150" spans="1:21" x14ac:dyDescent="0.25">
      <c r="A150" s="9">
        <v>2014</v>
      </c>
      <c r="B150" s="10" t="s">
        <v>23</v>
      </c>
      <c r="C150" s="7">
        <f t="shared" si="37"/>
        <v>105050</v>
      </c>
      <c r="D150" s="3">
        <v>200</v>
      </c>
      <c r="E150" s="3">
        <v>350</v>
      </c>
      <c r="F150" s="3">
        <v>4000</v>
      </c>
      <c r="G150" s="3">
        <v>4000</v>
      </c>
      <c r="H150" s="3">
        <v>1500</v>
      </c>
      <c r="I150" s="3">
        <v>2250</v>
      </c>
      <c r="J150" s="3">
        <v>13000</v>
      </c>
      <c r="K150" s="3">
        <v>9000</v>
      </c>
      <c r="L150" s="3">
        <v>11000</v>
      </c>
      <c r="M150" s="3">
        <v>3000</v>
      </c>
      <c r="N150" s="3">
        <v>4500</v>
      </c>
      <c r="O150" s="3">
        <v>1750</v>
      </c>
      <c r="P150" s="3">
        <v>7000</v>
      </c>
      <c r="Q150" s="3">
        <v>7000</v>
      </c>
      <c r="R150" s="3">
        <v>5000</v>
      </c>
      <c r="S150" s="3">
        <v>11000</v>
      </c>
      <c r="T150" s="3">
        <v>16000</v>
      </c>
      <c r="U150" s="3">
        <v>4500</v>
      </c>
    </row>
    <row r="151" spans="1:21" x14ac:dyDescent="0.25">
      <c r="A151" s="9">
        <v>2014</v>
      </c>
      <c r="B151" s="4" t="s">
        <v>25</v>
      </c>
      <c r="C151" s="7">
        <f>SUM(D151:U151)</f>
        <v>2258845</v>
      </c>
      <c r="D151" s="5">
        <f>SUM(D130:D150)</f>
        <v>13720</v>
      </c>
      <c r="E151" s="5">
        <f t="shared" ref="E151" si="72">SUM(E130:E150)</f>
        <v>26400</v>
      </c>
      <c r="F151" s="5">
        <f t="shared" ref="F151" si="73">SUM(F130:F150)</f>
        <v>260900</v>
      </c>
      <c r="G151" s="5">
        <f t="shared" ref="G151" si="74">SUM(G130:G150)</f>
        <v>97800</v>
      </c>
      <c r="H151" s="5">
        <f t="shared" ref="H151" si="75">SUM(H130:H150)</f>
        <v>44950</v>
      </c>
      <c r="I151" s="5">
        <f t="shared" ref="I151" si="76">SUM(I130:I150)</f>
        <v>93150</v>
      </c>
      <c r="J151" s="5">
        <f t="shared" ref="J151" si="77">SUM(J130:J150)</f>
        <v>218250</v>
      </c>
      <c r="K151" s="5">
        <f t="shared" ref="K151" si="78">SUM(K130:K150)</f>
        <v>110250</v>
      </c>
      <c r="L151" s="5">
        <f t="shared" ref="L151" si="79">SUM(L130:L150)</f>
        <v>155250</v>
      </c>
      <c r="M151" s="5">
        <f t="shared" ref="M151" si="80">SUM(M130:M150)</f>
        <v>61100</v>
      </c>
      <c r="N151" s="5">
        <f t="shared" ref="N151" si="81">SUM(N130:N150)</f>
        <v>77625</v>
      </c>
      <c r="O151" s="5">
        <f t="shared" ref="O151" si="82">SUM(O130:O150)</f>
        <v>31250</v>
      </c>
      <c r="P151" s="5">
        <f t="shared" ref="P151" si="83">SUM(P130:P150)</f>
        <v>129950</v>
      </c>
      <c r="Q151" s="5">
        <f t="shared" ref="Q151" si="84">SUM(Q130:Q150)</f>
        <v>191900</v>
      </c>
      <c r="R151" s="5">
        <f t="shared" ref="R151" si="85">SUM(R130:R150)</f>
        <v>107900</v>
      </c>
      <c r="S151" s="5">
        <f t="shared" ref="S151" si="86">SUM(S130:S150)</f>
        <v>225000</v>
      </c>
      <c r="T151" s="5">
        <f t="shared" ref="T151" si="87">SUM(T130:T150)</f>
        <v>324500</v>
      </c>
      <c r="U151" s="5">
        <f t="shared" ref="U151" si="88">SUM(U130:U150)</f>
        <v>88950</v>
      </c>
    </row>
    <row r="152" spans="1:21" x14ac:dyDescent="0.25">
      <c r="A152" s="9">
        <v>2015</v>
      </c>
      <c r="B152" s="10" t="s">
        <v>27</v>
      </c>
      <c r="C152" s="7">
        <f t="shared" si="37"/>
        <v>268000</v>
      </c>
      <c r="D152" s="3">
        <v>6000</v>
      </c>
      <c r="E152" s="3">
        <v>3500</v>
      </c>
      <c r="F152" s="3">
        <v>31000</v>
      </c>
      <c r="G152" s="3">
        <v>12000</v>
      </c>
      <c r="H152" s="3">
        <v>5000</v>
      </c>
      <c r="I152" s="3">
        <v>12000</v>
      </c>
      <c r="J152" s="3">
        <v>24000</v>
      </c>
      <c r="K152" s="3">
        <v>11000</v>
      </c>
      <c r="L152" s="3">
        <v>29000</v>
      </c>
      <c r="M152" s="3">
        <v>4500</v>
      </c>
      <c r="N152" s="3">
        <v>7000</v>
      </c>
      <c r="O152" s="3">
        <v>4000</v>
      </c>
      <c r="P152" s="3">
        <v>18000</v>
      </c>
      <c r="Q152" s="3">
        <v>22000</v>
      </c>
      <c r="R152" s="3">
        <v>9000</v>
      </c>
      <c r="S152" s="3">
        <v>24000</v>
      </c>
      <c r="T152" s="3">
        <v>33000</v>
      </c>
      <c r="U152" s="3">
        <v>13000</v>
      </c>
    </row>
    <row r="153" spans="1:21" x14ac:dyDescent="0.25">
      <c r="A153" s="9">
        <v>2015</v>
      </c>
      <c r="B153" s="10" t="s">
        <v>11</v>
      </c>
      <c r="C153" s="7">
        <f t="shared" si="37"/>
        <v>543900</v>
      </c>
      <c r="D153" s="3">
        <v>900</v>
      </c>
      <c r="E153" s="3">
        <v>5000</v>
      </c>
      <c r="F153" s="3">
        <v>59000</v>
      </c>
      <c r="G153" s="3">
        <v>26000</v>
      </c>
      <c r="H153" s="3">
        <v>10000</v>
      </c>
      <c r="I153" s="3">
        <v>22000</v>
      </c>
      <c r="J153" s="3">
        <v>53000</v>
      </c>
      <c r="K153" s="3">
        <v>28000</v>
      </c>
      <c r="L153" s="3">
        <v>31000</v>
      </c>
      <c r="M153" s="3">
        <v>12000</v>
      </c>
      <c r="N153" s="3">
        <v>15000</v>
      </c>
      <c r="O153" s="3">
        <v>6000</v>
      </c>
      <c r="P153" s="3">
        <v>30000</v>
      </c>
      <c r="Q153" s="3">
        <v>48000</v>
      </c>
      <c r="R153" s="3">
        <v>30000</v>
      </c>
      <c r="S153" s="3">
        <v>61000</v>
      </c>
      <c r="T153" s="3">
        <v>87000</v>
      </c>
      <c r="U153" s="3">
        <v>20000</v>
      </c>
    </row>
    <row r="154" spans="1:21" x14ac:dyDescent="0.25">
      <c r="A154" s="9">
        <v>2015</v>
      </c>
      <c r="B154" s="10" t="s">
        <v>12</v>
      </c>
      <c r="C154" s="7">
        <f t="shared" si="37"/>
        <v>1020250</v>
      </c>
      <c r="D154" s="3">
        <v>1250</v>
      </c>
      <c r="E154" s="3">
        <v>13000</v>
      </c>
      <c r="F154" s="3">
        <v>110000</v>
      </c>
      <c r="G154" s="3">
        <v>43000</v>
      </c>
      <c r="H154" s="3">
        <v>18000</v>
      </c>
      <c r="I154" s="3">
        <v>49000</v>
      </c>
      <c r="J154" s="3">
        <v>87000</v>
      </c>
      <c r="K154" s="3">
        <v>48000</v>
      </c>
      <c r="L154" s="3">
        <v>56000</v>
      </c>
      <c r="M154" s="3">
        <v>27000</v>
      </c>
      <c r="N154" s="3">
        <v>48000</v>
      </c>
      <c r="O154" s="3">
        <v>15000</v>
      </c>
      <c r="P154" s="3">
        <v>78000</v>
      </c>
      <c r="Q154" s="3">
        <v>111000</v>
      </c>
      <c r="R154" s="3">
        <v>42000</v>
      </c>
      <c r="S154" s="3">
        <v>102000</v>
      </c>
      <c r="T154" s="3">
        <v>133000</v>
      </c>
      <c r="U154" s="3">
        <v>39000</v>
      </c>
    </row>
    <row r="155" spans="1:21" x14ac:dyDescent="0.25">
      <c r="A155" s="9">
        <v>2015</v>
      </c>
      <c r="B155" s="10" t="s">
        <v>3</v>
      </c>
      <c r="C155" s="7">
        <f t="shared" ref="C155:C176" si="89">SUM(D155:U155)</f>
        <v>76325</v>
      </c>
      <c r="D155" s="3">
        <v>225</v>
      </c>
      <c r="E155" s="3">
        <v>600</v>
      </c>
      <c r="F155" s="3">
        <v>12000</v>
      </c>
      <c r="G155" s="3">
        <v>5000</v>
      </c>
      <c r="H155" s="3">
        <v>1500</v>
      </c>
      <c r="I155" s="3">
        <v>2500</v>
      </c>
      <c r="J155" s="3">
        <v>7000</v>
      </c>
      <c r="K155" s="3">
        <v>4500</v>
      </c>
      <c r="L155" s="3">
        <v>4500</v>
      </c>
      <c r="M155" s="3">
        <v>1000</v>
      </c>
      <c r="N155" s="3">
        <v>1500</v>
      </c>
      <c r="O155" s="3">
        <v>1250</v>
      </c>
      <c r="P155" s="3">
        <v>3000</v>
      </c>
      <c r="Q155" s="3">
        <v>5000</v>
      </c>
      <c r="R155" s="3">
        <v>2250</v>
      </c>
      <c r="S155" s="3">
        <v>8000</v>
      </c>
      <c r="T155" s="3">
        <v>14000</v>
      </c>
      <c r="U155" s="3">
        <v>2500</v>
      </c>
    </row>
    <row r="156" spans="1:21" x14ac:dyDescent="0.25">
      <c r="A156" s="9">
        <v>2015</v>
      </c>
      <c r="B156" s="10" t="s">
        <v>5</v>
      </c>
      <c r="C156" s="7">
        <f t="shared" si="89"/>
        <v>193725</v>
      </c>
      <c r="D156" s="3">
        <v>225</v>
      </c>
      <c r="E156" s="3">
        <v>3000</v>
      </c>
      <c r="F156" s="3">
        <v>25000</v>
      </c>
      <c r="G156" s="3">
        <v>7000</v>
      </c>
      <c r="H156" s="3">
        <v>3500</v>
      </c>
      <c r="I156" s="3">
        <v>9000</v>
      </c>
      <c r="J156" s="3">
        <v>18000</v>
      </c>
      <c r="K156" s="3">
        <v>8000</v>
      </c>
      <c r="L156" s="3">
        <v>9000</v>
      </c>
      <c r="M156" s="3">
        <v>5000</v>
      </c>
      <c r="N156" s="3">
        <v>9000</v>
      </c>
      <c r="O156" s="3">
        <v>3000</v>
      </c>
      <c r="P156" s="3">
        <v>11000</v>
      </c>
      <c r="Q156" s="3">
        <v>13000</v>
      </c>
      <c r="R156" s="3">
        <v>9000</v>
      </c>
      <c r="S156" s="3">
        <v>24000</v>
      </c>
      <c r="T156" s="3">
        <v>31000</v>
      </c>
      <c r="U156" s="3">
        <v>6000</v>
      </c>
    </row>
    <row r="157" spans="1:21" x14ac:dyDescent="0.25">
      <c r="A157" s="9">
        <v>2015</v>
      </c>
      <c r="B157" s="10" t="s">
        <v>4</v>
      </c>
      <c r="C157" s="7">
        <f t="shared" si="89"/>
        <v>96400</v>
      </c>
      <c r="D157" s="3">
        <v>150</v>
      </c>
      <c r="E157" s="3">
        <v>500</v>
      </c>
      <c r="F157" s="3">
        <v>14000</v>
      </c>
      <c r="G157" s="3">
        <v>4000</v>
      </c>
      <c r="H157" s="3">
        <v>1500</v>
      </c>
      <c r="I157" s="3">
        <v>4000</v>
      </c>
      <c r="J157" s="3">
        <v>7000</v>
      </c>
      <c r="K157" s="3">
        <v>3000</v>
      </c>
      <c r="L157" s="3">
        <v>5000</v>
      </c>
      <c r="M157" s="3">
        <v>1500</v>
      </c>
      <c r="N157" s="3">
        <v>8000</v>
      </c>
      <c r="O157" s="3">
        <v>1250</v>
      </c>
      <c r="P157" s="3">
        <v>4000</v>
      </c>
      <c r="Q157" s="3">
        <v>18000</v>
      </c>
      <c r="R157" s="3">
        <v>3000</v>
      </c>
      <c r="S157" s="3">
        <v>8000</v>
      </c>
      <c r="T157" s="3">
        <v>10000</v>
      </c>
      <c r="U157" s="3">
        <v>3500</v>
      </c>
    </row>
    <row r="158" spans="1:21" x14ac:dyDescent="0.25">
      <c r="A158" s="9">
        <v>2015</v>
      </c>
      <c r="B158" s="10" t="s">
        <v>6</v>
      </c>
      <c r="C158" s="7">
        <f t="shared" si="89"/>
        <v>30925</v>
      </c>
      <c r="D158" s="3">
        <v>500</v>
      </c>
      <c r="E158" s="3">
        <v>125</v>
      </c>
      <c r="F158" s="3">
        <v>3000</v>
      </c>
      <c r="G158" s="3">
        <v>1500</v>
      </c>
      <c r="H158" s="3">
        <v>400</v>
      </c>
      <c r="I158" s="3">
        <v>1500</v>
      </c>
      <c r="J158" s="3">
        <v>2500</v>
      </c>
      <c r="K158" s="3">
        <v>1000</v>
      </c>
      <c r="L158" s="3">
        <v>3000</v>
      </c>
      <c r="M158" s="3">
        <v>350</v>
      </c>
      <c r="N158" s="3">
        <v>2500</v>
      </c>
      <c r="O158" s="3">
        <v>350</v>
      </c>
      <c r="P158" s="3">
        <v>1750</v>
      </c>
      <c r="Q158" s="3">
        <v>6000</v>
      </c>
      <c r="R158" s="3">
        <v>450</v>
      </c>
      <c r="S158" s="3">
        <v>3000</v>
      </c>
      <c r="T158" s="3">
        <v>2000</v>
      </c>
      <c r="U158" s="3">
        <v>1000</v>
      </c>
    </row>
    <row r="159" spans="1:21" x14ac:dyDescent="0.25">
      <c r="A159" s="9">
        <v>2015</v>
      </c>
      <c r="B159" s="10" t="s">
        <v>7</v>
      </c>
      <c r="C159" s="7">
        <f t="shared" si="89"/>
        <v>119200</v>
      </c>
      <c r="D159" s="3">
        <v>300</v>
      </c>
      <c r="E159" s="3">
        <v>1500</v>
      </c>
      <c r="F159" s="3">
        <v>10000</v>
      </c>
      <c r="G159" s="3">
        <v>7000</v>
      </c>
      <c r="H159" s="3">
        <v>3000</v>
      </c>
      <c r="I159" s="3">
        <v>4500</v>
      </c>
      <c r="J159" s="3">
        <v>12000</v>
      </c>
      <c r="K159" s="3">
        <v>9000</v>
      </c>
      <c r="L159" s="3">
        <v>7000</v>
      </c>
      <c r="M159" s="3">
        <v>1250</v>
      </c>
      <c r="N159" s="3">
        <v>2250</v>
      </c>
      <c r="O159" s="3">
        <v>900</v>
      </c>
      <c r="P159" s="3">
        <v>5000</v>
      </c>
      <c r="Q159" s="3">
        <v>11000</v>
      </c>
      <c r="R159" s="3">
        <v>9000</v>
      </c>
      <c r="S159" s="3">
        <v>11000</v>
      </c>
      <c r="T159" s="3">
        <v>20000</v>
      </c>
      <c r="U159" s="3">
        <v>4500</v>
      </c>
    </row>
    <row r="160" spans="1:21" x14ac:dyDescent="0.25">
      <c r="A160" s="9">
        <v>2015</v>
      </c>
      <c r="B160" s="10" t="s">
        <v>26</v>
      </c>
      <c r="C160" s="7">
        <f t="shared" si="89"/>
        <v>121750</v>
      </c>
      <c r="D160" s="3">
        <v>3000</v>
      </c>
      <c r="E160" s="3">
        <v>1250</v>
      </c>
      <c r="F160" s="3">
        <v>17000</v>
      </c>
      <c r="G160" s="3">
        <v>6000</v>
      </c>
      <c r="H160" s="3">
        <v>2500</v>
      </c>
      <c r="I160" s="3">
        <v>4500</v>
      </c>
      <c r="J160" s="3">
        <v>11000</v>
      </c>
      <c r="K160" s="3">
        <v>6000</v>
      </c>
      <c r="L160" s="3">
        <v>9000</v>
      </c>
      <c r="M160" s="3">
        <v>2250</v>
      </c>
      <c r="N160" s="3">
        <v>1250</v>
      </c>
      <c r="O160" s="3">
        <v>1500</v>
      </c>
      <c r="P160" s="3">
        <v>6000</v>
      </c>
      <c r="Q160" s="3">
        <v>7000</v>
      </c>
      <c r="R160" s="3">
        <v>10000</v>
      </c>
      <c r="S160" s="3">
        <v>12000</v>
      </c>
      <c r="T160" s="3">
        <v>17000</v>
      </c>
      <c r="U160" s="3">
        <v>4500</v>
      </c>
    </row>
    <row r="161" spans="1:21" x14ac:dyDescent="0.25">
      <c r="A161" s="9">
        <v>2015</v>
      </c>
      <c r="B161" s="10" t="s">
        <v>8</v>
      </c>
      <c r="C161" s="7">
        <f t="shared" si="89"/>
        <v>40550</v>
      </c>
      <c r="D161" s="3">
        <v>1250</v>
      </c>
      <c r="E161" s="3">
        <v>500</v>
      </c>
      <c r="F161" s="3">
        <v>5000</v>
      </c>
      <c r="G161" s="3">
        <v>2250</v>
      </c>
      <c r="H161" s="3">
        <v>700</v>
      </c>
      <c r="I161" s="3">
        <v>2000</v>
      </c>
      <c r="J161" s="3">
        <v>3500</v>
      </c>
      <c r="K161" s="3">
        <v>1750</v>
      </c>
      <c r="L161" s="3">
        <v>3500</v>
      </c>
      <c r="M161" s="3">
        <v>600</v>
      </c>
      <c r="N161" s="3">
        <v>400</v>
      </c>
      <c r="O161" s="3">
        <v>600</v>
      </c>
      <c r="P161" s="3">
        <v>2250</v>
      </c>
      <c r="Q161" s="3">
        <v>3000</v>
      </c>
      <c r="R161" s="3">
        <v>3500</v>
      </c>
      <c r="S161" s="3">
        <v>3000</v>
      </c>
      <c r="T161" s="3">
        <v>5000</v>
      </c>
      <c r="U161" s="3">
        <v>1750</v>
      </c>
    </row>
    <row r="162" spans="1:21" x14ac:dyDescent="0.25">
      <c r="A162" s="9">
        <v>2015</v>
      </c>
      <c r="B162" s="10" t="s">
        <v>9</v>
      </c>
      <c r="C162" s="7">
        <f t="shared" si="89"/>
        <v>78350</v>
      </c>
      <c r="D162" s="3">
        <v>1000</v>
      </c>
      <c r="E162" s="3">
        <v>350</v>
      </c>
      <c r="F162" s="3">
        <v>5000</v>
      </c>
      <c r="G162" s="3">
        <v>3000</v>
      </c>
      <c r="H162" s="3">
        <v>1750</v>
      </c>
      <c r="I162" s="3">
        <v>4000</v>
      </c>
      <c r="J162" s="3">
        <v>8000</v>
      </c>
      <c r="K162" s="3">
        <v>3000</v>
      </c>
      <c r="L162" s="3">
        <v>8000</v>
      </c>
      <c r="M162" s="3">
        <v>2000</v>
      </c>
      <c r="N162" s="3">
        <v>2500</v>
      </c>
      <c r="O162" s="3">
        <v>1250</v>
      </c>
      <c r="P162" s="3">
        <v>8000</v>
      </c>
      <c r="Q162" s="3">
        <v>6000</v>
      </c>
      <c r="R162" s="3">
        <v>2000</v>
      </c>
      <c r="S162" s="3">
        <v>7000</v>
      </c>
      <c r="T162" s="3">
        <v>12000</v>
      </c>
      <c r="U162" s="3">
        <v>3500</v>
      </c>
    </row>
    <row r="163" spans="1:21" x14ac:dyDescent="0.25">
      <c r="A163" s="9">
        <v>2015</v>
      </c>
      <c r="B163" s="10" t="s">
        <v>10</v>
      </c>
      <c r="C163" s="7">
        <f t="shared" si="89"/>
        <v>117505</v>
      </c>
      <c r="D163" s="3">
        <v>5</v>
      </c>
      <c r="E163" s="3">
        <v>1250</v>
      </c>
      <c r="F163" s="3">
        <v>19000</v>
      </c>
      <c r="G163" s="3">
        <v>6000</v>
      </c>
      <c r="H163" s="3">
        <v>2000</v>
      </c>
      <c r="I163" s="3">
        <v>5000</v>
      </c>
      <c r="J163" s="3">
        <v>12000</v>
      </c>
      <c r="K163" s="3">
        <v>5000</v>
      </c>
      <c r="L163" s="3">
        <v>5000</v>
      </c>
      <c r="M163" s="3">
        <v>2000</v>
      </c>
      <c r="N163" s="3">
        <v>1250</v>
      </c>
      <c r="O163" s="3">
        <v>1000</v>
      </c>
      <c r="P163" s="3">
        <v>5000</v>
      </c>
      <c r="Q163" s="3">
        <v>14000</v>
      </c>
      <c r="R163" s="3">
        <v>5000</v>
      </c>
      <c r="S163" s="3">
        <v>12000</v>
      </c>
      <c r="T163" s="3">
        <v>18000</v>
      </c>
      <c r="U163" s="3">
        <v>4000</v>
      </c>
    </row>
    <row r="164" spans="1:21" x14ac:dyDescent="0.25">
      <c r="A164" s="9">
        <v>2015</v>
      </c>
      <c r="B164" s="10" t="s">
        <v>13</v>
      </c>
      <c r="C164" s="7">
        <f t="shared" si="89"/>
        <v>153300</v>
      </c>
      <c r="D164" s="3">
        <v>300</v>
      </c>
      <c r="E164" s="3">
        <v>1000</v>
      </c>
      <c r="F164" s="3">
        <v>25000</v>
      </c>
      <c r="G164" s="3">
        <v>8000</v>
      </c>
      <c r="H164" s="3">
        <v>3500</v>
      </c>
      <c r="I164" s="3">
        <v>11000</v>
      </c>
      <c r="J164" s="3">
        <v>17000</v>
      </c>
      <c r="K164" s="3">
        <v>6000</v>
      </c>
      <c r="L164" s="3">
        <v>9000</v>
      </c>
      <c r="M164" s="3">
        <v>2250</v>
      </c>
      <c r="N164" s="3">
        <v>2500</v>
      </c>
      <c r="O164" s="3">
        <v>1750</v>
      </c>
      <c r="P164" s="3">
        <v>8000</v>
      </c>
      <c r="Q164" s="3">
        <v>8000</v>
      </c>
      <c r="R164" s="3">
        <v>6000</v>
      </c>
      <c r="S164" s="3">
        <v>18000</v>
      </c>
      <c r="T164" s="3">
        <v>21000</v>
      </c>
      <c r="U164" s="3">
        <v>5000</v>
      </c>
    </row>
    <row r="165" spans="1:21" x14ac:dyDescent="0.25">
      <c r="A165" s="9">
        <v>2015</v>
      </c>
      <c r="B165" s="10" t="s">
        <v>14</v>
      </c>
      <c r="C165" s="7">
        <f t="shared" si="89"/>
        <v>431500</v>
      </c>
      <c r="D165" s="3">
        <v>500</v>
      </c>
      <c r="E165" s="3">
        <v>7000</v>
      </c>
      <c r="F165" s="3">
        <v>29000</v>
      </c>
      <c r="G165" s="3">
        <v>18000</v>
      </c>
      <c r="H165" s="3">
        <v>6000</v>
      </c>
      <c r="I165" s="3">
        <v>17000</v>
      </c>
      <c r="J165" s="3">
        <v>32000</v>
      </c>
      <c r="K165" s="3">
        <v>18000</v>
      </c>
      <c r="L165" s="3">
        <v>24000</v>
      </c>
      <c r="M165" s="3">
        <v>16000</v>
      </c>
      <c r="N165" s="3">
        <v>26000</v>
      </c>
      <c r="O165" s="3">
        <v>7000</v>
      </c>
      <c r="P165" s="3">
        <v>47000</v>
      </c>
      <c r="Q165" s="3">
        <v>59000</v>
      </c>
      <c r="R165" s="3">
        <v>16000</v>
      </c>
      <c r="S165" s="3">
        <v>39000</v>
      </c>
      <c r="T165" s="3">
        <v>51000</v>
      </c>
      <c r="U165" s="3">
        <v>19000</v>
      </c>
    </row>
    <row r="166" spans="1:21" x14ac:dyDescent="0.25">
      <c r="A166" s="9">
        <v>2015</v>
      </c>
      <c r="B166" s="10" t="s">
        <v>15</v>
      </c>
      <c r="C166" s="7">
        <f t="shared" si="89"/>
        <v>65775</v>
      </c>
      <c r="D166" s="3">
        <v>125</v>
      </c>
      <c r="E166" s="3">
        <v>600</v>
      </c>
      <c r="F166" s="3">
        <v>10000</v>
      </c>
      <c r="G166" s="3">
        <v>2500</v>
      </c>
      <c r="H166" s="3">
        <v>1500</v>
      </c>
      <c r="I166" s="3">
        <v>2500</v>
      </c>
      <c r="J166" s="3">
        <v>7000</v>
      </c>
      <c r="K166" s="3">
        <v>6000</v>
      </c>
      <c r="L166" s="3">
        <v>4000</v>
      </c>
      <c r="M166" s="3">
        <v>500</v>
      </c>
      <c r="N166" s="3">
        <v>1250</v>
      </c>
      <c r="O166" s="3">
        <v>800</v>
      </c>
      <c r="P166" s="3">
        <v>3000</v>
      </c>
      <c r="Q166" s="3">
        <v>4500</v>
      </c>
      <c r="R166" s="3">
        <v>2250</v>
      </c>
      <c r="S166" s="3">
        <v>7000</v>
      </c>
      <c r="T166" s="3">
        <v>10000</v>
      </c>
      <c r="U166" s="3">
        <v>2250</v>
      </c>
    </row>
    <row r="167" spans="1:21" x14ac:dyDescent="0.25">
      <c r="A167" s="9">
        <v>2015</v>
      </c>
      <c r="B167" s="10" t="s">
        <v>16</v>
      </c>
      <c r="C167" s="7">
        <f t="shared" si="89"/>
        <v>70250</v>
      </c>
      <c r="D167" s="3">
        <v>700</v>
      </c>
      <c r="E167" s="3">
        <v>1750</v>
      </c>
      <c r="F167" s="3">
        <v>15000</v>
      </c>
      <c r="G167" s="3">
        <v>5000</v>
      </c>
      <c r="H167" s="3">
        <v>1750</v>
      </c>
      <c r="I167" s="3">
        <v>2500</v>
      </c>
      <c r="J167" s="3">
        <v>6000</v>
      </c>
      <c r="K167" s="3">
        <v>6000</v>
      </c>
      <c r="L167" s="3">
        <v>4000</v>
      </c>
      <c r="M167" s="3">
        <v>400</v>
      </c>
      <c r="N167" s="3">
        <v>700</v>
      </c>
      <c r="O167" s="3">
        <v>700</v>
      </c>
      <c r="P167" s="3">
        <v>2500</v>
      </c>
      <c r="Q167" s="3">
        <v>5000</v>
      </c>
      <c r="R167" s="3">
        <v>2500</v>
      </c>
      <c r="S167" s="3">
        <v>6000</v>
      </c>
      <c r="T167" s="3">
        <v>8000</v>
      </c>
      <c r="U167" s="3">
        <v>1750</v>
      </c>
    </row>
    <row r="168" spans="1:21" x14ac:dyDescent="0.25">
      <c r="A168" s="9">
        <v>2015</v>
      </c>
      <c r="B168" s="10" t="s">
        <v>24</v>
      </c>
      <c r="C168" s="7">
        <f t="shared" si="89"/>
        <v>16700</v>
      </c>
      <c r="D168" s="3">
        <v>700</v>
      </c>
      <c r="E168" s="3">
        <v>225</v>
      </c>
      <c r="F168" s="3">
        <v>1000</v>
      </c>
      <c r="G168" s="3">
        <v>900</v>
      </c>
      <c r="H168" s="3">
        <v>350</v>
      </c>
      <c r="I168" s="3">
        <v>600</v>
      </c>
      <c r="J168" s="3">
        <v>1750</v>
      </c>
      <c r="K168" s="3">
        <v>600</v>
      </c>
      <c r="L168" s="3">
        <v>3000</v>
      </c>
      <c r="M168" s="3">
        <v>150</v>
      </c>
      <c r="N168" s="3">
        <v>125</v>
      </c>
      <c r="O168" s="3">
        <v>250</v>
      </c>
      <c r="P168" s="3">
        <v>1000</v>
      </c>
      <c r="Q168" s="3">
        <v>1000</v>
      </c>
      <c r="R168" s="3">
        <v>800</v>
      </c>
      <c r="S168" s="3">
        <v>1500</v>
      </c>
      <c r="T168" s="3">
        <v>1500</v>
      </c>
      <c r="U168" s="3">
        <v>1250</v>
      </c>
    </row>
    <row r="169" spans="1:21" x14ac:dyDescent="0.25">
      <c r="A169" s="9">
        <v>2015</v>
      </c>
      <c r="B169" s="10" t="s">
        <v>17</v>
      </c>
      <c r="C169" s="7">
        <f t="shared" si="89"/>
        <v>100600</v>
      </c>
      <c r="D169" s="3">
        <v>150</v>
      </c>
      <c r="E169" s="3">
        <v>1500</v>
      </c>
      <c r="F169" s="3">
        <v>14000</v>
      </c>
      <c r="G169" s="3">
        <v>6000</v>
      </c>
      <c r="H169" s="3">
        <v>1500</v>
      </c>
      <c r="I169" s="3">
        <v>4000</v>
      </c>
      <c r="J169" s="3">
        <v>9000</v>
      </c>
      <c r="K169" s="3">
        <v>5000</v>
      </c>
      <c r="L169" s="3">
        <v>5000</v>
      </c>
      <c r="M169" s="3">
        <v>1250</v>
      </c>
      <c r="N169" s="3">
        <v>2000</v>
      </c>
      <c r="O169" s="3">
        <v>700</v>
      </c>
      <c r="P169" s="3">
        <v>3500</v>
      </c>
      <c r="Q169" s="3">
        <v>13000</v>
      </c>
      <c r="R169" s="3">
        <v>7000</v>
      </c>
      <c r="S169" s="3">
        <v>10000</v>
      </c>
      <c r="T169" s="3">
        <v>13000</v>
      </c>
      <c r="U169" s="3">
        <v>4000</v>
      </c>
    </row>
    <row r="170" spans="1:21" x14ac:dyDescent="0.25">
      <c r="A170" s="9">
        <v>2015</v>
      </c>
      <c r="B170" s="10" t="s">
        <v>18</v>
      </c>
      <c r="C170" s="7">
        <f t="shared" si="89"/>
        <v>24000</v>
      </c>
      <c r="D170" s="3">
        <v>1000</v>
      </c>
      <c r="E170" s="3">
        <v>200</v>
      </c>
      <c r="F170" s="3">
        <v>5000</v>
      </c>
      <c r="G170" s="3">
        <v>1250</v>
      </c>
      <c r="H170" s="3">
        <v>600</v>
      </c>
      <c r="I170" s="3">
        <v>1000</v>
      </c>
      <c r="J170" s="3">
        <v>1750</v>
      </c>
      <c r="K170" s="3">
        <v>600</v>
      </c>
      <c r="L170" s="3">
        <v>2500</v>
      </c>
      <c r="M170" s="3">
        <v>150</v>
      </c>
      <c r="N170" s="3">
        <v>350</v>
      </c>
      <c r="O170" s="3">
        <v>400</v>
      </c>
      <c r="P170" s="3">
        <v>1500</v>
      </c>
      <c r="Q170" s="3">
        <v>1000</v>
      </c>
      <c r="R170" s="3">
        <v>700</v>
      </c>
      <c r="S170" s="3">
        <v>2250</v>
      </c>
      <c r="T170" s="3">
        <v>1750</v>
      </c>
      <c r="U170" s="3">
        <v>2000</v>
      </c>
    </row>
    <row r="171" spans="1:21" x14ac:dyDescent="0.25">
      <c r="A171" s="9">
        <v>2015</v>
      </c>
      <c r="B171" s="10" t="s">
        <v>19</v>
      </c>
      <c r="C171" s="7">
        <f t="shared" si="89"/>
        <v>41750</v>
      </c>
      <c r="D171" s="3">
        <v>450</v>
      </c>
      <c r="E171" s="3">
        <v>200</v>
      </c>
      <c r="F171" s="3">
        <v>5000</v>
      </c>
      <c r="G171" s="3">
        <v>1250</v>
      </c>
      <c r="H171" s="3">
        <v>500</v>
      </c>
      <c r="I171" s="3">
        <v>900</v>
      </c>
      <c r="J171" s="3">
        <v>5000</v>
      </c>
      <c r="K171" s="3">
        <v>1250</v>
      </c>
      <c r="L171" s="3">
        <v>7000</v>
      </c>
      <c r="M171" s="3">
        <v>300</v>
      </c>
      <c r="N171" s="3">
        <v>600</v>
      </c>
      <c r="O171" s="3">
        <v>800</v>
      </c>
      <c r="P171" s="3">
        <v>1250</v>
      </c>
      <c r="Q171" s="3">
        <v>2000</v>
      </c>
      <c r="R171" s="3">
        <v>1250</v>
      </c>
      <c r="S171" s="3">
        <v>3500</v>
      </c>
      <c r="T171" s="3">
        <v>8000</v>
      </c>
      <c r="U171" s="3">
        <v>2500</v>
      </c>
    </row>
    <row r="172" spans="1:21" x14ac:dyDescent="0.25">
      <c r="A172" s="9">
        <v>2015</v>
      </c>
      <c r="B172" s="10" t="s">
        <v>20</v>
      </c>
      <c r="C172" s="7">
        <f t="shared" si="89"/>
        <v>36800</v>
      </c>
      <c r="D172" s="3">
        <v>800</v>
      </c>
      <c r="E172" s="3">
        <v>2000</v>
      </c>
      <c r="F172" s="3">
        <v>7000</v>
      </c>
      <c r="G172" s="3">
        <v>1750</v>
      </c>
      <c r="H172" s="3">
        <v>500</v>
      </c>
      <c r="I172" s="3">
        <v>2000</v>
      </c>
      <c r="J172" s="3">
        <v>2000</v>
      </c>
      <c r="K172" s="3">
        <v>3500</v>
      </c>
      <c r="L172" s="3">
        <v>2000</v>
      </c>
      <c r="M172" s="3">
        <v>800</v>
      </c>
      <c r="N172" s="3">
        <v>300</v>
      </c>
      <c r="O172" s="3">
        <v>250</v>
      </c>
      <c r="P172" s="3">
        <v>2500</v>
      </c>
      <c r="Q172" s="3">
        <v>3500</v>
      </c>
      <c r="R172" s="3">
        <v>700</v>
      </c>
      <c r="S172" s="3">
        <v>3500</v>
      </c>
      <c r="T172" s="3">
        <v>3000</v>
      </c>
      <c r="U172" s="3">
        <v>700</v>
      </c>
    </row>
    <row r="173" spans="1:21" x14ac:dyDescent="0.25">
      <c r="A173" s="9">
        <v>2015</v>
      </c>
      <c r="B173" s="10" t="s">
        <v>21</v>
      </c>
      <c r="C173" s="7">
        <f t="shared" si="89"/>
        <v>249650</v>
      </c>
      <c r="D173" s="3">
        <v>150</v>
      </c>
      <c r="E173" s="3">
        <v>1500</v>
      </c>
      <c r="F173" s="3">
        <v>23000</v>
      </c>
      <c r="G173" s="3">
        <v>9000</v>
      </c>
      <c r="H173" s="3">
        <v>4000</v>
      </c>
      <c r="I173" s="3">
        <v>11000</v>
      </c>
      <c r="J173" s="3">
        <v>25000</v>
      </c>
      <c r="K173" s="3">
        <v>9000</v>
      </c>
      <c r="L173" s="3">
        <v>15000</v>
      </c>
      <c r="M173" s="3">
        <v>8000</v>
      </c>
      <c r="N173" s="3">
        <v>10000</v>
      </c>
      <c r="O173" s="3">
        <v>3000</v>
      </c>
      <c r="P173" s="3">
        <v>18000</v>
      </c>
      <c r="Q173" s="3">
        <v>19000</v>
      </c>
      <c r="R173" s="3">
        <v>12000</v>
      </c>
      <c r="S173" s="3">
        <v>32000</v>
      </c>
      <c r="T173" s="3">
        <v>40000</v>
      </c>
      <c r="U173" s="3">
        <v>10000</v>
      </c>
    </row>
    <row r="174" spans="1:21" x14ac:dyDescent="0.25">
      <c r="A174" s="9">
        <v>2015</v>
      </c>
      <c r="B174" s="10" t="s">
        <v>22</v>
      </c>
      <c r="C174" s="7">
        <f t="shared" si="89"/>
        <v>144900</v>
      </c>
      <c r="D174" s="3">
        <v>150</v>
      </c>
      <c r="E174" s="3">
        <v>2000</v>
      </c>
      <c r="F174" s="3">
        <v>18000</v>
      </c>
      <c r="G174" s="3">
        <v>6000</v>
      </c>
      <c r="H174" s="3">
        <v>3000</v>
      </c>
      <c r="I174" s="3">
        <v>9000</v>
      </c>
      <c r="J174" s="3">
        <v>13000</v>
      </c>
      <c r="K174" s="3">
        <v>14000</v>
      </c>
      <c r="L174" s="3">
        <v>8000</v>
      </c>
      <c r="M174" s="3">
        <v>2000</v>
      </c>
      <c r="N174" s="3">
        <v>2250</v>
      </c>
      <c r="O174" s="3">
        <v>2500</v>
      </c>
      <c r="P174" s="3">
        <v>7000</v>
      </c>
      <c r="Q174" s="3">
        <v>13000</v>
      </c>
      <c r="R174" s="3">
        <v>8000</v>
      </c>
      <c r="S174" s="3">
        <v>12000</v>
      </c>
      <c r="T174" s="3">
        <v>20000</v>
      </c>
      <c r="U174" s="3">
        <v>5000</v>
      </c>
    </row>
    <row r="175" spans="1:21" x14ac:dyDescent="0.25">
      <c r="A175" s="9">
        <v>2015</v>
      </c>
      <c r="B175" s="10" t="s">
        <v>23</v>
      </c>
      <c r="C175" s="7">
        <f t="shared" si="89"/>
        <v>103325</v>
      </c>
      <c r="D175" s="3">
        <v>175</v>
      </c>
      <c r="E175" s="3">
        <v>400</v>
      </c>
      <c r="F175" s="3">
        <v>4500</v>
      </c>
      <c r="G175" s="3">
        <v>4000</v>
      </c>
      <c r="H175" s="3">
        <v>1500</v>
      </c>
      <c r="I175" s="3">
        <v>2500</v>
      </c>
      <c r="J175" s="3">
        <v>13000</v>
      </c>
      <c r="K175" s="3">
        <v>4500</v>
      </c>
      <c r="L175" s="3">
        <v>10000</v>
      </c>
      <c r="M175" s="3">
        <v>2500</v>
      </c>
      <c r="N175" s="3">
        <v>4500</v>
      </c>
      <c r="O175" s="3">
        <v>1750</v>
      </c>
      <c r="P175" s="3">
        <v>8000</v>
      </c>
      <c r="Q175" s="3">
        <v>8000</v>
      </c>
      <c r="R175" s="3">
        <v>5000</v>
      </c>
      <c r="S175" s="3">
        <v>12000</v>
      </c>
      <c r="T175" s="3">
        <v>16000</v>
      </c>
      <c r="U175" s="3">
        <v>5000</v>
      </c>
    </row>
    <row r="176" spans="1:21" x14ac:dyDescent="0.25">
      <c r="A176" s="9">
        <v>2015</v>
      </c>
      <c r="B176" s="4" t="s">
        <v>25</v>
      </c>
      <c r="C176" s="7">
        <f t="shared" si="89"/>
        <v>2313280</v>
      </c>
      <c r="D176" s="5">
        <f>SUM(D155:D175)</f>
        <v>11855</v>
      </c>
      <c r="E176" s="5">
        <f t="shared" ref="E176" si="90">SUM(E155:E175)</f>
        <v>27450</v>
      </c>
      <c r="F176" s="5">
        <f>SUM(F155:F175)</f>
        <v>266500</v>
      </c>
      <c r="G176" s="5">
        <f t="shared" ref="G176" si="91">SUM(G155:G175)</f>
        <v>105400</v>
      </c>
      <c r="H176" s="5">
        <f t="shared" ref="H176" si="92">SUM(H155:H175)</f>
        <v>41550</v>
      </c>
      <c r="I176" s="5">
        <f t="shared" ref="I176" si="93">SUM(I155:I175)</f>
        <v>101000</v>
      </c>
      <c r="J176" s="5">
        <f t="shared" ref="J176" si="94">SUM(J155:J175)</f>
        <v>213500</v>
      </c>
      <c r="K176" s="5">
        <f t="shared" ref="K176" si="95">SUM(K155:K175)</f>
        <v>115700</v>
      </c>
      <c r="L176" s="5">
        <f t="shared" ref="L176" si="96">SUM(L155:L175)</f>
        <v>147500</v>
      </c>
      <c r="M176" s="5">
        <f t="shared" ref="M176" si="97">SUM(M155:M175)</f>
        <v>50250</v>
      </c>
      <c r="N176" s="5">
        <f t="shared" ref="N176" si="98">SUM(N155:N175)</f>
        <v>79225</v>
      </c>
      <c r="O176" s="5">
        <f t="shared" ref="O176" si="99">SUM(O155:O175)</f>
        <v>31000</v>
      </c>
      <c r="P176" s="5">
        <f t="shared" ref="P176" si="100">SUM(P155:P175)</f>
        <v>149250</v>
      </c>
      <c r="Q176" s="5">
        <f t="shared" ref="Q176" si="101">SUM(Q155:Q175)</f>
        <v>220000</v>
      </c>
      <c r="R176" s="5">
        <f t="shared" ref="R176" si="102">SUM(R155:R175)</f>
        <v>106400</v>
      </c>
      <c r="S176" s="5">
        <f t="shared" ref="S176" si="103">SUM(S155:S175)</f>
        <v>234750</v>
      </c>
      <c r="T176" s="5">
        <f t="shared" ref="T176" si="104">SUM(T155:T175)</f>
        <v>322250</v>
      </c>
      <c r="U176" s="5">
        <f t="shared" ref="U176" si="105">SUM(U155:U175)</f>
        <v>89700</v>
      </c>
    </row>
    <row r="177" spans="1:21" x14ac:dyDescent="0.25">
      <c r="A177">
        <v>2016</v>
      </c>
      <c r="B177" s="10" t="s">
        <v>3</v>
      </c>
      <c r="C177" s="11">
        <f>SUM(D177:U177)</f>
        <v>78350</v>
      </c>
      <c r="D177" s="12">
        <v>350</v>
      </c>
      <c r="E177" s="12">
        <v>500</v>
      </c>
      <c r="F177" s="12">
        <v>11000</v>
      </c>
      <c r="G177" s="12">
        <v>5000</v>
      </c>
      <c r="H177" s="12">
        <v>2000</v>
      </c>
      <c r="I177" s="12">
        <v>3000</v>
      </c>
      <c r="J177" s="12">
        <v>8000</v>
      </c>
      <c r="K177" s="12">
        <v>5000</v>
      </c>
      <c r="L177" s="12">
        <v>4500</v>
      </c>
      <c r="M177" s="12">
        <v>1250</v>
      </c>
      <c r="N177" s="12">
        <v>1000</v>
      </c>
      <c r="O177" s="12">
        <v>1250</v>
      </c>
      <c r="P177" s="12">
        <v>3000</v>
      </c>
      <c r="Q177" s="12">
        <v>5000</v>
      </c>
      <c r="R177" s="12">
        <v>2000</v>
      </c>
      <c r="S177">
        <v>8000</v>
      </c>
      <c r="T177">
        <v>15000</v>
      </c>
      <c r="U177">
        <v>2500</v>
      </c>
    </row>
    <row r="178" spans="1:21" x14ac:dyDescent="0.25">
      <c r="A178">
        <v>2016</v>
      </c>
      <c r="B178" s="10" t="s">
        <v>5</v>
      </c>
      <c r="C178" s="11">
        <f t="shared" ref="C178:C241" si="106">SUM(D178:U178)</f>
        <v>191950</v>
      </c>
      <c r="D178" s="12">
        <v>450</v>
      </c>
      <c r="E178" s="12">
        <v>3000</v>
      </c>
      <c r="F178" s="12">
        <v>22000</v>
      </c>
      <c r="G178" s="12">
        <v>7000</v>
      </c>
      <c r="H178" s="12">
        <v>4500</v>
      </c>
      <c r="I178" s="12">
        <v>11000</v>
      </c>
      <c r="J178" s="12">
        <v>19000</v>
      </c>
      <c r="K178" s="12">
        <v>8000</v>
      </c>
      <c r="L178" s="12">
        <v>9000</v>
      </c>
      <c r="M178" s="12">
        <v>6000</v>
      </c>
      <c r="N178" s="12">
        <v>7000</v>
      </c>
      <c r="O178" s="12">
        <v>3000</v>
      </c>
      <c r="P178" s="12">
        <v>11000</v>
      </c>
      <c r="Q178" s="12">
        <v>12000</v>
      </c>
      <c r="R178" s="12">
        <v>8000</v>
      </c>
      <c r="S178">
        <v>23000</v>
      </c>
      <c r="T178">
        <v>31000</v>
      </c>
      <c r="U178">
        <v>7000</v>
      </c>
    </row>
    <row r="179" spans="1:21" x14ac:dyDescent="0.25">
      <c r="A179">
        <v>2016</v>
      </c>
      <c r="B179" s="10" t="s">
        <v>4</v>
      </c>
      <c r="C179" s="11">
        <f t="shared" si="106"/>
        <v>95800</v>
      </c>
      <c r="D179" s="12">
        <v>300</v>
      </c>
      <c r="E179" s="12">
        <v>500</v>
      </c>
      <c r="F179" s="12">
        <v>12000</v>
      </c>
      <c r="G179" s="12">
        <v>4000</v>
      </c>
      <c r="H179" s="12">
        <v>1750</v>
      </c>
      <c r="I179" s="12">
        <v>5000</v>
      </c>
      <c r="J179" s="12">
        <v>7000</v>
      </c>
      <c r="K179" s="12">
        <v>3000</v>
      </c>
      <c r="L179" s="12">
        <v>5000</v>
      </c>
      <c r="M179" s="12">
        <v>2000</v>
      </c>
      <c r="N179" s="12">
        <v>7000</v>
      </c>
      <c r="O179" s="12">
        <v>1250</v>
      </c>
      <c r="P179" s="12">
        <v>5000</v>
      </c>
      <c r="Q179" s="12">
        <v>17000</v>
      </c>
      <c r="R179" s="12">
        <v>3000</v>
      </c>
      <c r="S179">
        <v>8000</v>
      </c>
      <c r="T179">
        <v>10000</v>
      </c>
      <c r="U179">
        <v>4000</v>
      </c>
    </row>
    <row r="180" spans="1:21" x14ac:dyDescent="0.25">
      <c r="A180">
        <v>2016</v>
      </c>
      <c r="B180" s="10" t="s">
        <v>6</v>
      </c>
      <c r="C180" s="11">
        <f t="shared" si="106"/>
        <v>30700</v>
      </c>
      <c r="D180" s="12">
        <v>800</v>
      </c>
      <c r="E180" s="12">
        <v>150</v>
      </c>
      <c r="F180" s="12">
        <v>3000</v>
      </c>
      <c r="G180" s="12">
        <v>1250</v>
      </c>
      <c r="H180" s="12">
        <v>700</v>
      </c>
      <c r="I180" s="12">
        <v>1500</v>
      </c>
      <c r="J180" s="12">
        <v>2500</v>
      </c>
      <c r="K180" s="12">
        <v>1000</v>
      </c>
      <c r="L180" s="12">
        <v>3000</v>
      </c>
      <c r="M180" s="12">
        <v>600</v>
      </c>
      <c r="N180" s="12">
        <v>2500</v>
      </c>
      <c r="O180" s="12">
        <v>350</v>
      </c>
      <c r="P180" s="12">
        <v>1750</v>
      </c>
      <c r="Q180" s="12">
        <v>5000</v>
      </c>
      <c r="R180" s="12">
        <v>350</v>
      </c>
      <c r="S180">
        <v>3000</v>
      </c>
      <c r="T180">
        <v>2000</v>
      </c>
      <c r="U180">
        <v>1250</v>
      </c>
    </row>
    <row r="181" spans="1:21" x14ac:dyDescent="0.25">
      <c r="A181">
        <v>2016</v>
      </c>
      <c r="B181" s="10" t="s">
        <v>7</v>
      </c>
      <c r="C181" s="11">
        <f t="shared" si="106"/>
        <v>118250</v>
      </c>
      <c r="D181" s="12">
        <v>600</v>
      </c>
      <c r="E181" s="12">
        <v>1000</v>
      </c>
      <c r="F181" s="12">
        <v>9000</v>
      </c>
      <c r="G181" s="12">
        <v>7000</v>
      </c>
      <c r="H181" s="12">
        <v>3500</v>
      </c>
      <c r="I181" s="12">
        <v>5000</v>
      </c>
      <c r="J181" s="12">
        <v>12000</v>
      </c>
      <c r="K181" s="12">
        <v>11000</v>
      </c>
      <c r="L181" s="12">
        <v>6000</v>
      </c>
      <c r="M181" s="12">
        <v>1750</v>
      </c>
      <c r="N181" s="12">
        <v>2000</v>
      </c>
      <c r="O181" s="12">
        <v>900</v>
      </c>
      <c r="P181" s="12">
        <v>5000</v>
      </c>
      <c r="Q181" s="12">
        <v>11000</v>
      </c>
      <c r="R181" s="12">
        <v>7000</v>
      </c>
      <c r="S181">
        <v>11000</v>
      </c>
      <c r="T181">
        <v>20000</v>
      </c>
      <c r="U181">
        <v>4500</v>
      </c>
    </row>
    <row r="182" spans="1:21" x14ac:dyDescent="0.25">
      <c r="A182">
        <v>2016</v>
      </c>
      <c r="B182" s="10" t="s">
        <v>26</v>
      </c>
      <c r="C182" s="11">
        <f t="shared" si="106"/>
        <v>125250</v>
      </c>
      <c r="D182" s="12">
        <v>4500</v>
      </c>
      <c r="E182" s="12">
        <v>1750</v>
      </c>
      <c r="F182" s="12">
        <v>16000</v>
      </c>
      <c r="G182" s="12">
        <v>6000</v>
      </c>
      <c r="H182" s="12">
        <v>3500</v>
      </c>
      <c r="I182" s="12">
        <v>5000</v>
      </c>
      <c r="J182" s="12">
        <v>11000</v>
      </c>
      <c r="K182" s="12">
        <v>8000</v>
      </c>
      <c r="L182" s="12">
        <v>9000</v>
      </c>
      <c r="M182" s="12">
        <v>3000</v>
      </c>
      <c r="N182" s="12">
        <v>1000</v>
      </c>
      <c r="O182" s="12">
        <v>1500</v>
      </c>
      <c r="P182" s="12">
        <v>7000</v>
      </c>
      <c r="Q182" s="12">
        <v>7000</v>
      </c>
      <c r="R182" s="12">
        <v>9000</v>
      </c>
      <c r="S182">
        <v>10000</v>
      </c>
      <c r="T182">
        <v>17000</v>
      </c>
      <c r="U182">
        <v>5000</v>
      </c>
    </row>
    <row r="183" spans="1:21" x14ac:dyDescent="0.25">
      <c r="A183">
        <v>2016</v>
      </c>
      <c r="B183" s="10" t="s">
        <v>8</v>
      </c>
      <c r="C183" s="11">
        <f t="shared" si="106"/>
        <v>39700</v>
      </c>
      <c r="D183" s="12">
        <v>1500</v>
      </c>
      <c r="E183" s="12">
        <v>500</v>
      </c>
      <c r="F183" s="12">
        <v>4500</v>
      </c>
      <c r="G183" s="12">
        <v>2500</v>
      </c>
      <c r="H183" s="12">
        <v>900</v>
      </c>
      <c r="I183" s="12">
        <v>2500</v>
      </c>
      <c r="J183" s="12">
        <v>3500</v>
      </c>
      <c r="K183" s="12">
        <v>1750</v>
      </c>
      <c r="L183" s="12">
        <v>3500</v>
      </c>
      <c r="M183" s="12">
        <v>700</v>
      </c>
      <c r="N183" s="12">
        <v>250</v>
      </c>
      <c r="O183" s="12">
        <v>600</v>
      </c>
      <c r="P183" s="12">
        <v>2250</v>
      </c>
      <c r="Q183" s="12">
        <v>1500</v>
      </c>
      <c r="R183" s="12">
        <v>3500</v>
      </c>
      <c r="S183">
        <v>3500</v>
      </c>
      <c r="T183">
        <v>4500</v>
      </c>
      <c r="U183">
        <v>1750</v>
      </c>
    </row>
    <row r="184" spans="1:21" x14ac:dyDescent="0.25">
      <c r="A184">
        <v>2016</v>
      </c>
      <c r="B184" s="10" t="s">
        <v>9</v>
      </c>
      <c r="C184" s="11">
        <f t="shared" si="106"/>
        <v>81950</v>
      </c>
      <c r="D184" s="12">
        <v>1750</v>
      </c>
      <c r="E184" s="12">
        <v>700</v>
      </c>
      <c r="F184" s="12">
        <v>4500</v>
      </c>
      <c r="G184" s="12">
        <v>3500</v>
      </c>
      <c r="H184" s="12">
        <v>2250</v>
      </c>
      <c r="I184" s="12">
        <v>4500</v>
      </c>
      <c r="J184" s="12">
        <v>8000</v>
      </c>
      <c r="K184" s="12">
        <v>3000</v>
      </c>
      <c r="L184" s="12">
        <v>8000</v>
      </c>
      <c r="M184" s="12">
        <v>2500</v>
      </c>
      <c r="N184" s="12">
        <v>2000</v>
      </c>
      <c r="O184" s="12">
        <v>1250</v>
      </c>
      <c r="P184" s="12">
        <v>8000</v>
      </c>
      <c r="Q184" s="12">
        <v>6000</v>
      </c>
      <c r="R184" s="12">
        <v>2000</v>
      </c>
      <c r="S184">
        <v>7000</v>
      </c>
      <c r="T184">
        <v>13000</v>
      </c>
      <c r="U184">
        <v>4000</v>
      </c>
    </row>
    <row r="185" spans="1:21" x14ac:dyDescent="0.25">
      <c r="A185">
        <v>2016</v>
      </c>
      <c r="B185" s="10" t="s">
        <v>10</v>
      </c>
      <c r="C185" s="11">
        <f t="shared" si="106"/>
        <v>121075</v>
      </c>
      <c r="D185" s="12">
        <v>75</v>
      </c>
      <c r="E185" s="12">
        <v>1250</v>
      </c>
      <c r="F185" s="12">
        <v>18000</v>
      </c>
      <c r="G185" s="12">
        <v>6000</v>
      </c>
      <c r="H185" s="12">
        <v>2500</v>
      </c>
      <c r="I185" s="12">
        <v>6000</v>
      </c>
      <c r="J185" s="12">
        <v>12000</v>
      </c>
      <c r="K185" s="12">
        <v>6000</v>
      </c>
      <c r="L185" s="12">
        <v>5000</v>
      </c>
      <c r="M185" s="12">
        <v>2500</v>
      </c>
      <c r="N185" s="12">
        <v>1000</v>
      </c>
      <c r="O185" s="12">
        <v>1250</v>
      </c>
      <c r="P185" s="12">
        <v>5000</v>
      </c>
      <c r="Q185" s="12">
        <v>15000</v>
      </c>
      <c r="R185" s="12">
        <v>5000</v>
      </c>
      <c r="S185">
        <v>12000</v>
      </c>
      <c r="T185">
        <v>18000</v>
      </c>
      <c r="U185">
        <v>4500</v>
      </c>
    </row>
    <row r="186" spans="1:21" x14ac:dyDescent="0.25">
      <c r="A186">
        <v>2016</v>
      </c>
      <c r="B186" s="10" t="s">
        <v>13</v>
      </c>
      <c r="C186" s="11">
        <f t="shared" si="106"/>
        <v>153400</v>
      </c>
      <c r="D186" s="12">
        <v>400</v>
      </c>
      <c r="E186" s="12">
        <v>1750</v>
      </c>
      <c r="F186" s="12">
        <v>21000</v>
      </c>
      <c r="G186" s="12">
        <v>9000</v>
      </c>
      <c r="H186" s="12">
        <v>5000</v>
      </c>
      <c r="I186" s="12">
        <v>11000</v>
      </c>
      <c r="J186" s="12">
        <v>16000</v>
      </c>
      <c r="K186" s="12">
        <v>7000</v>
      </c>
      <c r="L186" s="12">
        <v>8000</v>
      </c>
      <c r="M186" s="12">
        <v>3000</v>
      </c>
      <c r="N186" s="12">
        <v>2250</v>
      </c>
      <c r="O186" s="12">
        <v>2000</v>
      </c>
      <c r="P186" s="12">
        <v>8000</v>
      </c>
      <c r="Q186" s="12">
        <v>9000</v>
      </c>
      <c r="R186" s="12">
        <v>5000</v>
      </c>
      <c r="S186">
        <v>18000</v>
      </c>
      <c r="T186">
        <v>21000</v>
      </c>
      <c r="U186">
        <v>6000</v>
      </c>
    </row>
    <row r="187" spans="1:21" x14ac:dyDescent="0.25">
      <c r="A187">
        <v>2016</v>
      </c>
      <c r="B187" s="10" t="s">
        <v>14</v>
      </c>
      <c r="C187" s="11">
        <f t="shared" si="106"/>
        <v>431000</v>
      </c>
      <c r="D187" s="12">
        <v>1000</v>
      </c>
      <c r="E187" s="12">
        <v>8000</v>
      </c>
      <c r="F187" s="12">
        <v>25000</v>
      </c>
      <c r="G187" s="12">
        <v>20000</v>
      </c>
      <c r="H187" s="12">
        <v>7000</v>
      </c>
      <c r="I187" s="12">
        <v>18000</v>
      </c>
      <c r="J187" s="12">
        <v>31000</v>
      </c>
      <c r="K187" s="12">
        <v>20000</v>
      </c>
      <c r="L187" s="12">
        <v>23000</v>
      </c>
      <c r="M187" s="12">
        <v>20000</v>
      </c>
      <c r="N187" s="12">
        <v>23000</v>
      </c>
      <c r="O187" s="12">
        <v>6000</v>
      </c>
      <c r="P187" s="12">
        <v>46000</v>
      </c>
      <c r="Q187" s="12">
        <v>52000</v>
      </c>
      <c r="R187" s="12">
        <v>14000</v>
      </c>
      <c r="S187">
        <v>40000</v>
      </c>
      <c r="T187">
        <v>56000</v>
      </c>
      <c r="U187">
        <v>21000</v>
      </c>
    </row>
    <row r="188" spans="1:21" x14ac:dyDescent="0.25">
      <c r="A188">
        <v>2016</v>
      </c>
      <c r="B188" s="10" t="s">
        <v>15</v>
      </c>
      <c r="C188" s="11">
        <f t="shared" si="106"/>
        <v>68050</v>
      </c>
      <c r="D188" s="12">
        <v>300</v>
      </c>
      <c r="E188" s="12">
        <v>700</v>
      </c>
      <c r="F188" s="12">
        <v>10000</v>
      </c>
      <c r="G188" s="12">
        <v>2500</v>
      </c>
      <c r="H188" s="12">
        <v>2000</v>
      </c>
      <c r="I188" s="12">
        <v>3000</v>
      </c>
      <c r="J188" s="12">
        <v>7000</v>
      </c>
      <c r="K188" s="12">
        <v>6000</v>
      </c>
      <c r="L188" s="12">
        <v>4000</v>
      </c>
      <c r="M188" s="12">
        <v>600</v>
      </c>
      <c r="N188" s="12">
        <v>900</v>
      </c>
      <c r="O188" s="12">
        <v>800</v>
      </c>
      <c r="P188" s="12">
        <v>3000</v>
      </c>
      <c r="Q188" s="12">
        <v>4500</v>
      </c>
      <c r="R188" s="12">
        <v>2250</v>
      </c>
      <c r="S188">
        <v>7000</v>
      </c>
      <c r="T188">
        <v>11000</v>
      </c>
      <c r="U188">
        <v>2500</v>
      </c>
    </row>
    <row r="189" spans="1:21" x14ac:dyDescent="0.25">
      <c r="A189">
        <v>2016</v>
      </c>
      <c r="B189" s="10" t="s">
        <v>16</v>
      </c>
      <c r="C189" s="11">
        <f t="shared" si="106"/>
        <v>71050</v>
      </c>
      <c r="D189" s="12">
        <v>1250</v>
      </c>
      <c r="E189" s="12">
        <v>1500</v>
      </c>
      <c r="F189" s="12">
        <v>14000</v>
      </c>
      <c r="G189" s="12">
        <v>5000</v>
      </c>
      <c r="H189" s="12">
        <v>2500</v>
      </c>
      <c r="I189" s="12">
        <v>3000</v>
      </c>
      <c r="J189" s="12">
        <v>6000</v>
      </c>
      <c r="K189" s="12">
        <v>6000</v>
      </c>
      <c r="L189" s="12">
        <v>4000</v>
      </c>
      <c r="M189" s="12">
        <v>500</v>
      </c>
      <c r="N189" s="12">
        <v>450</v>
      </c>
      <c r="O189" s="12">
        <v>600</v>
      </c>
      <c r="P189" s="12">
        <v>2250</v>
      </c>
      <c r="Q189" s="12">
        <v>4500</v>
      </c>
      <c r="R189" s="12">
        <v>2500</v>
      </c>
      <c r="S189">
        <v>6000</v>
      </c>
      <c r="T189">
        <v>9000</v>
      </c>
      <c r="U189">
        <v>2000</v>
      </c>
    </row>
    <row r="190" spans="1:21" x14ac:dyDescent="0.25">
      <c r="A190">
        <v>2016</v>
      </c>
      <c r="B190" s="10" t="s">
        <v>24</v>
      </c>
      <c r="C190" s="11">
        <f t="shared" si="106"/>
        <v>17650</v>
      </c>
      <c r="D190" s="12">
        <v>1250</v>
      </c>
      <c r="E190" s="12">
        <v>175</v>
      </c>
      <c r="F190" s="12">
        <v>900</v>
      </c>
      <c r="G190" s="12">
        <v>1000</v>
      </c>
      <c r="H190" s="12">
        <v>500</v>
      </c>
      <c r="I190" s="12">
        <v>800</v>
      </c>
      <c r="J190" s="12">
        <v>1750</v>
      </c>
      <c r="K190" s="12">
        <v>600</v>
      </c>
      <c r="L190" s="12">
        <v>3000</v>
      </c>
      <c r="M190" s="12">
        <v>250</v>
      </c>
      <c r="N190" s="12">
        <v>125</v>
      </c>
      <c r="O190" s="12">
        <v>350</v>
      </c>
      <c r="P190" s="12">
        <v>1000</v>
      </c>
      <c r="Q190" s="12">
        <v>900</v>
      </c>
      <c r="R190" s="12">
        <v>800</v>
      </c>
      <c r="S190">
        <v>1500</v>
      </c>
      <c r="T190">
        <v>1250</v>
      </c>
      <c r="U190">
        <v>1500</v>
      </c>
    </row>
    <row r="191" spans="1:21" x14ac:dyDescent="0.25">
      <c r="A191">
        <v>2016</v>
      </c>
      <c r="B191" s="10" t="s">
        <v>17</v>
      </c>
      <c r="C191" s="11">
        <f t="shared" si="106"/>
        <v>102575</v>
      </c>
      <c r="D191" s="12">
        <v>225</v>
      </c>
      <c r="E191" s="12">
        <v>1500</v>
      </c>
      <c r="F191" s="12">
        <v>12000</v>
      </c>
      <c r="G191" s="12">
        <v>7000</v>
      </c>
      <c r="H191" s="12">
        <v>2000</v>
      </c>
      <c r="I191" s="12">
        <v>4000</v>
      </c>
      <c r="J191" s="12">
        <v>9000</v>
      </c>
      <c r="K191" s="12">
        <v>5000</v>
      </c>
      <c r="L191" s="12">
        <v>5000</v>
      </c>
      <c r="M191" s="12">
        <v>1750</v>
      </c>
      <c r="N191" s="12">
        <v>1500</v>
      </c>
      <c r="O191" s="12">
        <v>600</v>
      </c>
      <c r="P191" s="12">
        <v>5000</v>
      </c>
      <c r="Q191" s="12">
        <v>11000</v>
      </c>
      <c r="R191" s="12">
        <v>7000</v>
      </c>
      <c r="S191">
        <v>9000</v>
      </c>
      <c r="T191">
        <v>17000</v>
      </c>
      <c r="U191">
        <v>4000</v>
      </c>
    </row>
    <row r="192" spans="1:21" x14ac:dyDescent="0.25">
      <c r="A192">
        <v>2016</v>
      </c>
      <c r="B192" s="10" t="s">
        <v>18</v>
      </c>
      <c r="C192" s="11">
        <f t="shared" si="106"/>
        <v>24575</v>
      </c>
      <c r="D192" s="12">
        <v>1500</v>
      </c>
      <c r="E192" s="12">
        <v>175</v>
      </c>
      <c r="F192" s="12">
        <v>5000</v>
      </c>
      <c r="G192" s="12">
        <v>1500</v>
      </c>
      <c r="H192" s="12">
        <v>700</v>
      </c>
      <c r="I192" s="12">
        <v>900</v>
      </c>
      <c r="J192" s="12">
        <v>1500</v>
      </c>
      <c r="K192" s="12">
        <v>600</v>
      </c>
      <c r="L192" s="12">
        <v>2500</v>
      </c>
      <c r="M192" s="12">
        <v>250</v>
      </c>
      <c r="N192" s="12">
        <v>150</v>
      </c>
      <c r="O192" s="12">
        <v>350</v>
      </c>
      <c r="P192" s="12">
        <v>1750</v>
      </c>
      <c r="Q192" s="12">
        <v>1000</v>
      </c>
      <c r="R192" s="12">
        <v>450</v>
      </c>
      <c r="S192">
        <v>2250</v>
      </c>
      <c r="T192">
        <v>2000</v>
      </c>
      <c r="U192">
        <v>2000</v>
      </c>
    </row>
    <row r="193" spans="1:21" x14ac:dyDescent="0.25">
      <c r="A193">
        <v>2016</v>
      </c>
      <c r="B193" s="10" t="s">
        <v>19</v>
      </c>
      <c r="C193" s="11">
        <f t="shared" si="106"/>
        <v>44100</v>
      </c>
      <c r="D193" s="12">
        <v>1000</v>
      </c>
      <c r="E193" s="12">
        <v>250</v>
      </c>
      <c r="F193" s="12">
        <v>4500</v>
      </c>
      <c r="G193" s="12">
        <v>1500</v>
      </c>
      <c r="H193" s="12">
        <v>700</v>
      </c>
      <c r="I193" s="12">
        <v>1000</v>
      </c>
      <c r="J193" s="12">
        <v>5000</v>
      </c>
      <c r="K193" s="12">
        <v>1250</v>
      </c>
      <c r="L193" s="12">
        <v>7000</v>
      </c>
      <c r="M193" s="12">
        <v>400</v>
      </c>
      <c r="N193" s="12">
        <v>350</v>
      </c>
      <c r="O193" s="12">
        <v>900</v>
      </c>
      <c r="P193" s="12">
        <v>1250</v>
      </c>
      <c r="Q193" s="12">
        <v>2500</v>
      </c>
      <c r="R193" s="12">
        <v>1250</v>
      </c>
      <c r="S193">
        <v>4000</v>
      </c>
      <c r="T193">
        <v>9000</v>
      </c>
      <c r="U193">
        <v>2250</v>
      </c>
    </row>
    <row r="194" spans="1:21" x14ac:dyDescent="0.25">
      <c r="A194">
        <v>2016</v>
      </c>
      <c r="B194" s="10" t="s">
        <v>20</v>
      </c>
      <c r="C194" s="11">
        <f t="shared" si="106"/>
        <v>36050</v>
      </c>
      <c r="D194" s="12">
        <v>1250</v>
      </c>
      <c r="E194" s="12">
        <v>2000</v>
      </c>
      <c r="F194" s="12">
        <v>6000</v>
      </c>
      <c r="G194" s="12">
        <v>1750</v>
      </c>
      <c r="H194" s="12">
        <v>500</v>
      </c>
      <c r="I194" s="12">
        <v>1500</v>
      </c>
      <c r="J194" s="12">
        <v>2000</v>
      </c>
      <c r="K194" s="12">
        <v>4500</v>
      </c>
      <c r="L194" s="12">
        <v>1750</v>
      </c>
      <c r="M194" s="12">
        <v>900</v>
      </c>
      <c r="N194" s="12">
        <v>200</v>
      </c>
      <c r="O194" s="12">
        <v>300</v>
      </c>
      <c r="P194" s="12">
        <v>3000</v>
      </c>
      <c r="Q194" s="12">
        <v>3000</v>
      </c>
      <c r="R194" s="12">
        <v>500</v>
      </c>
      <c r="S194">
        <v>3500</v>
      </c>
      <c r="T194">
        <v>2500</v>
      </c>
      <c r="U194">
        <v>900</v>
      </c>
    </row>
    <row r="195" spans="1:21" x14ac:dyDescent="0.25">
      <c r="A195">
        <v>2016</v>
      </c>
      <c r="B195" s="10" t="s">
        <v>21</v>
      </c>
      <c r="C195" s="11">
        <f t="shared" si="106"/>
        <v>253600</v>
      </c>
      <c r="D195" s="12">
        <v>350</v>
      </c>
      <c r="E195" s="12">
        <v>1750</v>
      </c>
      <c r="F195" s="12">
        <v>20000</v>
      </c>
      <c r="G195" s="12">
        <v>9000</v>
      </c>
      <c r="H195" s="12">
        <v>4500</v>
      </c>
      <c r="I195" s="12">
        <v>12000</v>
      </c>
      <c r="J195" s="12">
        <v>25000</v>
      </c>
      <c r="K195" s="12">
        <v>9000</v>
      </c>
      <c r="L195" s="12">
        <v>15000</v>
      </c>
      <c r="M195" s="12">
        <v>9000</v>
      </c>
      <c r="N195" s="12">
        <v>9000</v>
      </c>
      <c r="O195" s="12">
        <v>3000</v>
      </c>
      <c r="P195" s="12">
        <v>19000</v>
      </c>
      <c r="Q195" s="12">
        <v>20000</v>
      </c>
      <c r="R195" s="12">
        <v>13000</v>
      </c>
      <c r="S195">
        <v>33000</v>
      </c>
      <c r="T195">
        <v>41000</v>
      </c>
      <c r="U195">
        <v>10000</v>
      </c>
    </row>
    <row r="196" spans="1:21" x14ac:dyDescent="0.25">
      <c r="A196">
        <v>2016</v>
      </c>
      <c r="B196" s="10" t="s">
        <v>22</v>
      </c>
      <c r="C196" s="11">
        <f t="shared" si="106"/>
        <v>148850</v>
      </c>
      <c r="D196" s="12">
        <v>350</v>
      </c>
      <c r="E196" s="12">
        <v>2250</v>
      </c>
      <c r="F196" s="12">
        <v>16000</v>
      </c>
      <c r="G196" s="12">
        <v>7000</v>
      </c>
      <c r="H196" s="12">
        <v>4000</v>
      </c>
      <c r="I196" s="12">
        <v>9000</v>
      </c>
      <c r="J196" s="12">
        <v>13000</v>
      </c>
      <c r="K196" s="12">
        <v>16000</v>
      </c>
      <c r="L196" s="12">
        <v>8000</v>
      </c>
      <c r="M196" s="12">
        <v>2250</v>
      </c>
      <c r="N196" s="12">
        <v>1500</v>
      </c>
      <c r="O196" s="12">
        <v>2500</v>
      </c>
      <c r="P196" s="12">
        <v>7000</v>
      </c>
      <c r="Q196" s="12">
        <v>14000</v>
      </c>
      <c r="R196" s="12">
        <v>9000</v>
      </c>
      <c r="S196">
        <v>12000</v>
      </c>
      <c r="T196">
        <v>20000</v>
      </c>
      <c r="U196">
        <v>5000</v>
      </c>
    </row>
    <row r="197" spans="1:21" x14ac:dyDescent="0.25">
      <c r="A197">
        <v>2016</v>
      </c>
      <c r="B197" s="10" t="s">
        <v>23</v>
      </c>
      <c r="C197" s="11">
        <f t="shared" si="106"/>
        <v>101850</v>
      </c>
      <c r="D197" s="12">
        <v>250</v>
      </c>
      <c r="E197" s="12">
        <v>350</v>
      </c>
      <c r="F197" s="12">
        <v>4000</v>
      </c>
      <c r="G197" s="12">
        <v>4500</v>
      </c>
      <c r="H197" s="12">
        <v>1500</v>
      </c>
      <c r="I197" s="12">
        <v>3000</v>
      </c>
      <c r="J197" s="12">
        <v>13000</v>
      </c>
      <c r="K197" s="12">
        <v>4500</v>
      </c>
      <c r="L197" s="12">
        <v>10000</v>
      </c>
      <c r="M197" s="12">
        <v>3000</v>
      </c>
      <c r="N197" s="12">
        <v>4000</v>
      </c>
      <c r="O197" s="12">
        <v>1750</v>
      </c>
      <c r="P197" s="12">
        <v>8000</v>
      </c>
      <c r="Q197" s="12">
        <v>7000</v>
      </c>
      <c r="R197" s="12">
        <v>5000</v>
      </c>
      <c r="S197">
        <v>11000</v>
      </c>
      <c r="T197">
        <v>16000</v>
      </c>
      <c r="U197">
        <v>5000</v>
      </c>
    </row>
    <row r="198" spans="1:21" x14ac:dyDescent="0.25">
      <c r="A198">
        <v>2016</v>
      </c>
      <c r="B198" s="10" t="s">
        <v>27</v>
      </c>
      <c r="C198" s="11">
        <f t="shared" si="106"/>
        <v>274000</v>
      </c>
      <c r="D198" s="12">
        <v>9000</v>
      </c>
      <c r="E198" s="12">
        <v>4000</v>
      </c>
      <c r="F198" s="12">
        <v>28000</v>
      </c>
      <c r="G198" s="12">
        <v>13000</v>
      </c>
      <c r="H198" s="12">
        <v>6000</v>
      </c>
      <c r="I198" s="12">
        <v>13000</v>
      </c>
      <c r="J198" s="12">
        <v>24000</v>
      </c>
      <c r="K198" s="12">
        <v>12000</v>
      </c>
      <c r="L198" s="12">
        <v>28000</v>
      </c>
      <c r="M198" s="12">
        <v>6000</v>
      </c>
      <c r="N198" s="12">
        <v>6000</v>
      </c>
      <c r="O198" s="12">
        <v>4000</v>
      </c>
      <c r="P198" s="12">
        <v>19000</v>
      </c>
      <c r="Q198" s="12">
        <v>20000</v>
      </c>
      <c r="R198" s="12">
        <v>9000</v>
      </c>
      <c r="S198">
        <v>25000</v>
      </c>
      <c r="T198">
        <v>35000</v>
      </c>
      <c r="U198">
        <v>13000</v>
      </c>
    </row>
    <row r="199" spans="1:21" x14ac:dyDescent="0.25">
      <c r="A199">
        <v>2016</v>
      </c>
      <c r="B199" s="10" t="s">
        <v>11</v>
      </c>
      <c r="C199" s="11">
        <f t="shared" si="106"/>
        <v>553000</v>
      </c>
      <c r="D199" s="12">
        <v>1500</v>
      </c>
      <c r="E199" s="12">
        <v>4500</v>
      </c>
      <c r="F199" s="12">
        <v>52000</v>
      </c>
      <c r="G199" s="12">
        <v>28000</v>
      </c>
      <c r="H199" s="12">
        <v>12000</v>
      </c>
      <c r="I199" s="12">
        <v>24000</v>
      </c>
      <c r="J199" s="12">
        <v>54000</v>
      </c>
      <c r="K199" s="12">
        <v>30000</v>
      </c>
      <c r="L199" s="12">
        <v>31000</v>
      </c>
      <c r="M199" s="12">
        <v>13000</v>
      </c>
      <c r="N199" s="12">
        <v>13000</v>
      </c>
      <c r="O199" s="12">
        <v>6000</v>
      </c>
      <c r="P199" s="12">
        <v>32000</v>
      </c>
      <c r="Q199" s="12">
        <v>46000</v>
      </c>
      <c r="R199" s="12">
        <v>28000</v>
      </c>
      <c r="S199">
        <v>62000</v>
      </c>
      <c r="T199">
        <v>94000</v>
      </c>
      <c r="U199">
        <v>22000</v>
      </c>
    </row>
    <row r="200" spans="1:21" x14ac:dyDescent="0.25">
      <c r="A200">
        <v>2016</v>
      </c>
      <c r="B200" s="10" t="s">
        <v>12</v>
      </c>
      <c r="C200" s="11">
        <f>SUM(D200:U200)</f>
        <v>1024500</v>
      </c>
      <c r="D200" s="12">
        <v>2500</v>
      </c>
      <c r="E200" s="12">
        <v>15000</v>
      </c>
      <c r="F200" s="12">
        <v>97000</v>
      </c>
      <c r="G200" s="12">
        <v>47000</v>
      </c>
      <c r="H200" s="12">
        <v>22000</v>
      </c>
      <c r="I200" s="12">
        <v>54000</v>
      </c>
      <c r="J200" s="12">
        <v>87000</v>
      </c>
      <c r="K200" s="12">
        <v>53000</v>
      </c>
      <c r="L200" s="12">
        <v>54000</v>
      </c>
      <c r="M200" s="12">
        <v>33000</v>
      </c>
      <c r="N200" s="12">
        <v>42000</v>
      </c>
      <c r="O200" s="12">
        <v>15000</v>
      </c>
      <c r="P200" s="12">
        <v>77000</v>
      </c>
      <c r="Q200" s="12">
        <v>104000</v>
      </c>
      <c r="R200" s="12">
        <v>40000</v>
      </c>
      <c r="S200">
        <v>101000</v>
      </c>
      <c r="T200">
        <v>138000</v>
      </c>
      <c r="U200">
        <v>43000</v>
      </c>
    </row>
    <row r="201" spans="1:21" x14ac:dyDescent="0.25">
      <c r="A201">
        <v>2016</v>
      </c>
      <c r="B201" s="10" t="s">
        <v>25</v>
      </c>
      <c r="C201" s="11">
        <f t="shared" si="106"/>
        <v>2335775</v>
      </c>
      <c r="D201" s="5">
        <f>SUM(D177:D197)</f>
        <v>19450</v>
      </c>
      <c r="E201" s="5">
        <f t="shared" ref="E201:U201" si="107">SUM(E177:E197)</f>
        <v>29750</v>
      </c>
      <c r="F201" s="5">
        <f t="shared" si="107"/>
        <v>238400</v>
      </c>
      <c r="G201" s="5">
        <f t="shared" si="107"/>
        <v>112000</v>
      </c>
      <c r="H201" s="5">
        <f t="shared" si="107"/>
        <v>52500</v>
      </c>
      <c r="I201" s="5">
        <f t="shared" si="107"/>
        <v>110700</v>
      </c>
      <c r="J201" s="5">
        <f t="shared" si="107"/>
        <v>213250</v>
      </c>
      <c r="K201" s="5">
        <f t="shared" si="107"/>
        <v>127200</v>
      </c>
      <c r="L201" s="5">
        <f t="shared" si="107"/>
        <v>144250</v>
      </c>
      <c r="M201" s="5">
        <f t="shared" si="107"/>
        <v>62200</v>
      </c>
      <c r="N201" s="5">
        <f t="shared" si="107"/>
        <v>67175</v>
      </c>
      <c r="O201" s="5">
        <f t="shared" si="107"/>
        <v>30500</v>
      </c>
      <c r="P201" s="5">
        <f t="shared" si="107"/>
        <v>153250</v>
      </c>
      <c r="Q201" s="5">
        <f t="shared" si="107"/>
        <v>208900</v>
      </c>
      <c r="R201" s="5">
        <f t="shared" si="107"/>
        <v>100600</v>
      </c>
      <c r="S201" s="5">
        <f t="shared" si="107"/>
        <v>232750</v>
      </c>
      <c r="T201" s="5">
        <f t="shared" si="107"/>
        <v>336250</v>
      </c>
      <c r="U201" s="5">
        <f t="shared" si="107"/>
        <v>96650</v>
      </c>
    </row>
    <row r="202" spans="1:21" x14ac:dyDescent="0.25">
      <c r="A202">
        <v>2017</v>
      </c>
      <c r="B202" s="10" t="s">
        <v>3</v>
      </c>
      <c r="C202" s="11">
        <f t="shared" si="106"/>
        <v>79150</v>
      </c>
      <c r="D202" s="12">
        <v>300</v>
      </c>
      <c r="E202" s="12">
        <v>600</v>
      </c>
      <c r="F202" s="12">
        <v>12000</v>
      </c>
      <c r="G202" s="12">
        <v>4500</v>
      </c>
      <c r="H202" s="12">
        <v>1750</v>
      </c>
      <c r="I202" s="12">
        <v>2500</v>
      </c>
      <c r="J202" s="12">
        <v>8000</v>
      </c>
      <c r="K202" s="12">
        <v>5000</v>
      </c>
      <c r="L202" s="12">
        <v>5000</v>
      </c>
      <c r="M202" s="12">
        <v>1000</v>
      </c>
      <c r="N202" s="12">
        <v>1250</v>
      </c>
      <c r="O202" s="12">
        <v>1250</v>
      </c>
      <c r="P202" s="12">
        <v>3500</v>
      </c>
      <c r="Q202" s="12">
        <v>7000</v>
      </c>
      <c r="R202" s="12">
        <v>2000</v>
      </c>
      <c r="S202">
        <v>7000</v>
      </c>
      <c r="T202">
        <v>14000</v>
      </c>
      <c r="U202">
        <v>2500</v>
      </c>
    </row>
    <row r="203" spans="1:21" x14ac:dyDescent="0.25">
      <c r="A203">
        <v>2017</v>
      </c>
      <c r="B203" s="10" t="s">
        <v>5</v>
      </c>
      <c r="C203" s="11">
        <f t="shared" si="106"/>
        <v>202750</v>
      </c>
      <c r="D203" s="12">
        <v>250</v>
      </c>
      <c r="E203" s="12">
        <v>2500</v>
      </c>
      <c r="F203" s="12">
        <v>26000</v>
      </c>
      <c r="G203" s="12">
        <v>7000</v>
      </c>
      <c r="H203" s="12">
        <v>4000</v>
      </c>
      <c r="I203" s="12">
        <v>9000</v>
      </c>
      <c r="J203" s="12">
        <v>21000</v>
      </c>
      <c r="K203" s="12">
        <v>8000</v>
      </c>
      <c r="L203" s="12">
        <v>11000</v>
      </c>
      <c r="M203" s="12">
        <v>7000</v>
      </c>
      <c r="N203" s="12">
        <v>8000</v>
      </c>
      <c r="O203" s="12">
        <v>3000</v>
      </c>
      <c r="P203" s="12">
        <v>13000</v>
      </c>
      <c r="Q203" s="12">
        <v>15000</v>
      </c>
      <c r="R203" s="12">
        <v>9000</v>
      </c>
      <c r="S203">
        <v>22000</v>
      </c>
      <c r="T203">
        <v>31000</v>
      </c>
      <c r="U203">
        <v>6000</v>
      </c>
    </row>
    <row r="204" spans="1:21" x14ac:dyDescent="0.25">
      <c r="A204">
        <v>2017</v>
      </c>
      <c r="B204" s="10" t="s">
        <v>4</v>
      </c>
      <c r="C204" s="11">
        <f t="shared" si="106"/>
        <v>89875</v>
      </c>
      <c r="D204" s="12">
        <v>175</v>
      </c>
      <c r="E204" s="12">
        <v>450</v>
      </c>
      <c r="F204" s="12">
        <v>14000</v>
      </c>
      <c r="G204" s="12">
        <v>4500</v>
      </c>
      <c r="H204" s="12">
        <v>1500</v>
      </c>
      <c r="I204" s="12">
        <v>4500</v>
      </c>
      <c r="J204" s="12">
        <v>7000</v>
      </c>
      <c r="K204" s="12">
        <v>3000</v>
      </c>
      <c r="L204" s="12">
        <v>7000</v>
      </c>
      <c r="M204" s="12">
        <v>2000</v>
      </c>
      <c r="N204" s="12">
        <v>7000</v>
      </c>
      <c r="O204" s="12">
        <v>1250</v>
      </c>
      <c r="P204" s="12">
        <v>5000</v>
      </c>
      <c r="Q204" s="12">
        <v>9000</v>
      </c>
      <c r="R204" s="12">
        <v>3000</v>
      </c>
      <c r="S204">
        <v>8000</v>
      </c>
      <c r="T204">
        <v>9000</v>
      </c>
      <c r="U204">
        <v>3500</v>
      </c>
    </row>
    <row r="205" spans="1:21" x14ac:dyDescent="0.25">
      <c r="A205">
        <v>2017</v>
      </c>
      <c r="B205" s="10" t="s">
        <v>6</v>
      </c>
      <c r="C205" s="11">
        <f t="shared" si="106"/>
        <v>30400</v>
      </c>
      <c r="D205" s="12">
        <v>600</v>
      </c>
      <c r="E205" s="12">
        <v>150</v>
      </c>
      <c r="F205" s="12">
        <v>3000</v>
      </c>
      <c r="G205" s="12">
        <v>2000</v>
      </c>
      <c r="H205" s="12">
        <v>500</v>
      </c>
      <c r="I205" s="12">
        <v>1250</v>
      </c>
      <c r="J205" s="12">
        <v>2500</v>
      </c>
      <c r="K205" s="12">
        <v>900</v>
      </c>
      <c r="L205" s="12">
        <v>3500</v>
      </c>
      <c r="M205" s="12">
        <v>450</v>
      </c>
      <c r="N205" s="12">
        <v>2000</v>
      </c>
      <c r="O205" s="12">
        <v>400</v>
      </c>
      <c r="P205" s="12">
        <v>2500</v>
      </c>
      <c r="Q205" s="12">
        <v>5000</v>
      </c>
      <c r="R205" s="12">
        <v>400</v>
      </c>
      <c r="S205">
        <v>2500</v>
      </c>
      <c r="T205">
        <v>1750</v>
      </c>
      <c r="U205">
        <v>1000</v>
      </c>
    </row>
    <row r="206" spans="1:21" x14ac:dyDescent="0.25">
      <c r="A206">
        <v>2017</v>
      </c>
      <c r="B206" s="10" t="s">
        <v>7</v>
      </c>
      <c r="C206" s="11">
        <f t="shared" si="106"/>
        <v>124400</v>
      </c>
      <c r="D206" s="12">
        <v>350</v>
      </c>
      <c r="E206" s="12">
        <v>900</v>
      </c>
      <c r="F206" s="12">
        <v>10000</v>
      </c>
      <c r="G206" s="12">
        <v>8000</v>
      </c>
      <c r="H206" s="12">
        <v>3500</v>
      </c>
      <c r="I206" s="12">
        <v>4500</v>
      </c>
      <c r="J206" s="12">
        <v>13000</v>
      </c>
      <c r="K206" s="12">
        <v>11000</v>
      </c>
      <c r="L206" s="12">
        <v>8000</v>
      </c>
      <c r="M206" s="12">
        <v>1750</v>
      </c>
      <c r="N206" s="12">
        <v>2500</v>
      </c>
      <c r="O206" s="12">
        <v>900</v>
      </c>
      <c r="P206" s="12">
        <v>6000</v>
      </c>
      <c r="Q206" s="12">
        <v>11000</v>
      </c>
      <c r="R206" s="12">
        <v>7000</v>
      </c>
      <c r="S206">
        <v>11000</v>
      </c>
      <c r="T206">
        <v>21000</v>
      </c>
      <c r="U206">
        <v>4000</v>
      </c>
    </row>
    <row r="207" spans="1:21" x14ac:dyDescent="0.25">
      <c r="A207">
        <v>2017</v>
      </c>
      <c r="B207" s="10" t="s">
        <v>26</v>
      </c>
      <c r="C207" s="11">
        <f t="shared" si="106"/>
        <v>126250</v>
      </c>
      <c r="D207" s="12">
        <v>3000</v>
      </c>
      <c r="E207" s="12">
        <v>2000</v>
      </c>
      <c r="F207" s="12">
        <v>18000</v>
      </c>
      <c r="G207" s="12">
        <v>6000</v>
      </c>
      <c r="H207" s="12">
        <v>3000</v>
      </c>
      <c r="I207" s="12">
        <v>4000</v>
      </c>
      <c r="J207" s="12">
        <v>12000</v>
      </c>
      <c r="K207" s="12">
        <v>7000</v>
      </c>
      <c r="L207" s="12">
        <v>11000</v>
      </c>
      <c r="M207" s="12">
        <v>2500</v>
      </c>
      <c r="N207" s="12">
        <v>1250</v>
      </c>
      <c r="O207" s="12">
        <v>1500</v>
      </c>
      <c r="P207" s="12">
        <v>8000</v>
      </c>
      <c r="Q207" s="12">
        <v>8000</v>
      </c>
      <c r="R207" s="12">
        <v>8000</v>
      </c>
      <c r="S207">
        <v>11000</v>
      </c>
      <c r="T207">
        <v>16000</v>
      </c>
      <c r="U207">
        <v>4000</v>
      </c>
    </row>
    <row r="208" spans="1:21" x14ac:dyDescent="0.25">
      <c r="A208">
        <v>2017</v>
      </c>
      <c r="B208" s="10" t="s">
        <v>8</v>
      </c>
      <c r="C208" s="11">
        <f t="shared" si="106"/>
        <v>41950</v>
      </c>
      <c r="D208" s="12">
        <v>1500</v>
      </c>
      <c r="E208" s="12">
        <v>450</v>
      </c>
      <c r="F208" s="12">
        <v>5000</v>
      </c>
      <c r="G208" s="12">
        <v>3000</v>
      </c>
      <c r="H208" s="12">
        <v>800</v>
      </c>
      <c r="I208" s="12">
        <v>2000</v>
      </c>
      <c r="J208" s="12">
        <v>4000</v>
      </c>
      <c r="K208" s="12">
        <v>2000</v>
      </c>
      <c r="L208" s="12">
        <v>4500</v>
      </c>
      <c r="M208" s="12">
        <v>700</v>
      </c>
      <c r="N208" s="12">
        <v>300</v>
      </c>
      <c r="O208" s="12">
        <v>700</v>
      </c>
      <c r="P208" s="12">
        <v>2500</v>
      </c>
      <c r="Q208" s="12">
        <v>1250</v>
      </c>
      <c r="R208" s="12">
        <v>4500</v>
      </c>
      <c r="S208">
        <v>3000</v>
      </c>
      <c r="T208">
        <v>4500</v>
      </c>
      <c r="U208">
        <v>1250</v>
      </c>
    </row>
    <row r="209" spans="1:21" x14ac:dyDescent="0.25">
      <c r="A209">
        <v>2017</v>
      </c>
      <c r="B209" s="10" t="s">
        <v>9</v>
      </c>
      <c r="C209" s="11">
        <f t="shared" si="106"/>
        <v>79950</v>
      </c>
      <c r="D209" s="12">
        <v>1250</v>
      </c>
      <c r="E209" s="12">
        <v>450</v>
      </c>
      <c r="F209" s="12">
        <v>5000</v>
      </c>
      <c r="G209" s="12">
        <v>3000</v>
      </c>
      <c r="H209" s="12">
        <v>2000</v>
      </c>
      <c r="I209" s="12">
        <v>4000</v>
      </c>
      <c r="J209" s="12">
        <v>8000</v>
      </c>
      <c r="K209" s="12">
        <v>3500</v>
      </c>
      <c r="L209" s="12">
        <v>9000</v>
      </c>
      <c r="M209" s="12">
        <v>2250</v>
      </c>
      <c r="N209" s="12">
        <v>2000</v>
      </c>
      <c r="O209" s="12">
        <v>1000</v>
      </c>
      <c r="P209" s="12">
        <v>9000</v>
      </c>
      <c r="Q209" s="12">
        <v>6000</v>
      </c>
      <c r="R209" s="12">
        <v>2000</v>
      </c>
      <c r="S209">
        <v>7000</v>
      </c>
      <c r="T209">
        <v>11000</v>
      </c>
      <c r="U209">
        <v>3500</v>
      </c>
    </row>
    <row r="210" spans="1:21" x14ac:dyDescent="0.25">
      <c r="A210">
        <v>2017</v>
      </c>
      <c r="B210" s="10" t="s">
        <v>10</v>
      </c>
      <c r="C210" s="11">
        <f t="shared" si="106"/>
        <v>125775</v>
      </c>
      <c r="D210" s="12">
        <v>25</v>
      </c>
      <c r="E210" s="12">
        <v>1250</v>
      </c>
      <c r="F210" s="12">
        <v>21000</v>
      </c>
      <c r="G210" s="12">
        <v>6000</v>
      </c>
      <c r="H210" s="12">
        <v>2500</v>
      </c>
      <c r="I210" s="12">
        <v>4500</v>
      </c>
      <c r="J210" s="12">
        <v>12000</v>
      </c>
      <c r="K210" s="12">
        <v>6000</v>
      </c>
      <c r="L210" s="12">
        <v>7000</v>
      </c>
      <c r="M210" s="12">
        <v>2000</v>
      </c>
      <c r="N210" s="12">
        <v>1250</v>
      </c>
      <c r="O210" s="12">
        <v>1250</v>
      </c>
      <c r="P210" s="12">
        <v>6000</v>
      </c>
      <c r="Q210" s="12">
        <v>15000</v>
      </c>
      <c r="R210" s="12">
        <v>6000</v>
      </c>
      <c r="S210">
        <v>12000</v>
      </c>
      <c r="T210">
        <v>18000</v>
      </c>
      <c r="U210">
        <v>4000</v>
      </c>
    </row>
    <row r="211" spans="1:21" x14ac:dyDescent="0.25">
      <c r="A211">
        <v>2017</v>
      </c>
      <c r="B211" s="10" t="s">
        <v>13</v>
      </c>
      <c r="C211" s="11">
        <f t="shared" si="106"/>
        <v>155300</v>
      </c>
      <c r="D211" s="12">
        <v>300</v>
      </c>
      <c r="E211" s="12">
        <v>1250</v>
      </c>
      <c r="F211" s="12">
        <v>25000</v>
      </c>
      <c r="G211" s="12">
        <v>8000</v>
      </c>
      <c r="H211" s="12">
        <v>4000</v>
      </c>
      <c r="I211" s="12">
        <v>9000</v>
      </c>
      <c r="J211" s="12">
        <v>18000</v>
      </c>
      <c r="K211" s="12">
        <v>7000</v>
      </c>
      <c r="L211" s="12">
        <v>10000</v>
      </c>
      <c r="M211" s="12">
        <v>2500</v>
      </c>
      <c r="N211" s="12">
        <v>1750</v>
      </c>
      <c r="O211" s="12">
        <v>2500</v>
      </c>
      <c r="P211" s="12">
        <v>9000</v>
      </c>
      <c r="Q211" s="12">
        <v>11000</v>
      </c>
      <c r="R211" s="12">
        <v>5000</v>
      </c>
      <c r="S211">
        <v>16000</v>
      </c>
      <c r="T211">
        <v>19000</v>
      </c>
      <c r="U211">
        <v>6000</v>
      </c>
    </row>
    <row r="212" spans="1:21" x14ac:dyDescent="0.25">
      <c r="A212">
        <v>2017</v>
      </c>
      <c r="B212" s="10" t="s">
        <v>14</v>
      </c>
      <c r="C212" s="11">
        <f t="shared" si="106"/>
        <v>446600</v>
      </c>
      <c r="D212" s="12">
        <v>600</v>
      </c>
      <c r="E212" s="12">
        <v>6000</v>
      </c>
      <c r="F212" s="12">
        <v>28000</v>
      </c>
      <c r="G212" s="12">
        <v>20000</v>
      </c>
      <c r="H212" s="12">
        <v>7000</v>
      </c>
      <c r="I212" s="12">
        <v>17000</v>
      </c>
      <c r="J212" s="12">
        <v>34000</v>
      </c>
      <c r="K212" s="12">
        <v>23000</v>
      </c>
      <c r="L212" s="12">
        <v>28000</v>
      </c>
      <c r="M212" s="12">
        <v>20000</v>
      </c>
      <c r="N212" s="12">
        <v>26000</v>
      </c>
      <c r="O212" s="12">
        <v>6000</v>
      </c>
      <c r="P212" s="12">
        <v>49000</v>
      </c>
      <c r="Q212" s="12">
        <v>56000</v>
      </c>
      <c r="R212" s="12">
        <v>15000</v>
      </c>
      <c r="S212">
        <v>40000</v>
      </c>
      <c r="T212">
        <v>53000</v>
      </c>
      <c r="U212">
        <v>18000</v>
      </c>
    </row>
    <row r="213" spans="1:21" x14ac:dyDescent="0.25">
      <c r="A213">
        <v>2017</v>
      </c>
      <c r="B213" s="10" t="s">
        <v>15</v>
      </c>
      <c r="C213" s="11">
        <f t="shared" si="106"/>
        <v>69700</v>
      </c>
      <c r="D213" s="12">
        <v>150</v>
      </c>
      <c r="E213" s="12">
        <v>600</v>
      </c>
      <c r="F213" s="12">
        <v>11000</v>
      </c>
      <c r="G213" s="12">
        <v>3000</v>
      </c>
      <c r="H213" s="12">
        <v>1750</v>
      </c>
      <c r="I213" s="12">
        <v>2000</v>
      </c>
      <c r="J213" s="12">
        <v>8000</v>
      </c>
      <c r="K213" s="12">
        <v>7000</v>
      </c>
      <c r="L213" s="12">
        <v>4500</v>
      </c>
      <c r="M213" s="12">
        <v>500</v>
      </c>
      <c r="N213" s="12">
        <v>900</v>
      </c>
      <c r="O213" s="12">
        <v>800</v>
      </c>
      <c r="P213" s="12">
        <v>3500</v>
      </c>
      <c r="Q213" s="12">
        <v>5000</v>
      </c>
      <c r="R213" s="12">
        <v>2000</v>
      </c>
      <c r="S213">
        <v>6000</v>
      </c>
      <c r="T213">
        <v>11000</v>
      </c>
      <c r="U213">
        <v>2000</v>
      </c>
    </row>
    <row r="214" spans="1:21" x14ac:dyDescent="0.25">
      <c r="A214">
        <v>2017</v>
      </c>
      <c r="B214" s="10" t="s">
        <v>16</v>
      </c>
      <c r="C214" s="11">
        <f t="shared" si="106"/>
        <v>72000</v>
      </c>
      <c r="D214" s="12">
        <v>800</v>
      </c>
      <c r="E214" s="12">
        <v>1250</v>
      </c>
      <c r="F214" s="12">
        <v>17000</v>
      </c>
      <c r="G214" s="12">
        <v>5000</v>
      </c>
      <c r="H214" s="12">
        <v>2000</v>
      </c>
      <c r="I214" s="12">
        <v>2250</v>
      </c>
      <c r="J214" s="12">
        <v>7000</v>
      </c>
      <c r="K214" s="12">
        <v>6000</v>
      </c>
      <c r="L214" s="12">
        <v>4500</v>
      </c>
      <c r="M214" s="12">
        <v>450</v>
      </c>
      <c r="N214" s="12">
        <v>500</v>
      </c>
      <c r="O214" s="12">
        <v>500</v>
      </c>
      <c r="P214" s="12">
        <v>2500</v>
      </c>
      <c r="Q214" s="12">
        <v>5000</v>
      </c>
      <c r="R214" s="12">
        <v>2500</v>
      </c>
      <c r="S214">
        <v>5000</v>
      </c>
      <c r="T214">
        <v>8000</v>
      </c>
      <c r="U214">
        <v>1750</v>
      </c>
    </row>
    <row r="215" spans="1:21" x14ac:dyDescent="0.25">
      <c r="A215">
        <v>2017</v>
      </c>
      <c r="B215" s="10" t="s">
        <v>24</v>
      </c>
      <c r="C215" s="11">
        <f t="shared" si="106"/>
        <v>17900</v>
      </c>
      <c r="D215" s="12">
        <v>900</v>
      </c>
      <c r="E215" s="12">
        <v>75</v>
      </c>
      <c r="F215" s="12">
        <v>1250</v>
      </c>
      <c r="G215" s="12">
        <v>1250</v>
      </c>
      <c r="H215" s="12">
        <v>450</v>
      </c>
      <c r="I215" s="12">
        <v>600</v>
      </c>
      <c r="J215" s="12">
        <v>2000</v>
      </c>
      <c r="K215" s="12">
        <v>700</v>
      </c>
      <c r="L215" s="12">
        <v>3000</v>
      </c>
      <c r="M215" s="12">
        <v>225</v>
      </c>
      <c r="N215" s="12">
        <v>100</v>
      </c>
      <c r="O215" s="12">
        <v>350</v>
      </c>
      <c r="P215" s="12">
        <v>1250</v>
      </c>
      <c r="Q215" s="12">
        <v>1000</v>
      </c>
      <c r="R215" s="12">
        <v>1000</v>
      </c>
      <c r="S215">
        <v>1500</v>
      </c>
      <c r="T215">
        <v>1250</v>
      </c>
      <c r="U215">
        <v>1000</v>
      </c>
    </row>
    <row r="216" spans="1:21" x14ac:dyDescent="0.25">
      <c r="A216">
        <v>2017</v>
      </c>
      <c r="B216" s="10" t="s">
        <v>17</v>
      </c>
      <c r="C216" s="11">
        <f t="shared" si="106"/>
        <v>98775</v>
      </c>
      <c r="D216" s="12">
        <v>175</v>
      </c>
      <c r="E216" s="12">
        <v>1750</v>
      </c>
      <c r="F216" s="12">
        <v>14000</v>
      </c>
      <c r="G216" s="12">
        <v>7000</v>
      </c>
      <c r="H216" s="12">
        <v>2000</v>
      </c>
      <c r="I216" s="12">
        <v>3500</v>
      </c>
      <c r="J216" s="12">
        <v>10000</v>
      </c>
      <c r="K216" s="12">
        <v>5000</v>
      </c>
      <c r="L216" s="12">
        <v>6000</v>
      </c>
      <c r="M216" s="12">
        <v>2000</v>
      </c>
      <c r="N216" s="12">
        <v>1750</v>
      </c>
      <c r="O216" s="12">
        <v>600</v>
      </c>
      <c r="P216" s="12">
        <v>7000</v>
      </c>
      <c r="Q216" s="12">
        <v>7000</v>
      </c>
      <c r="R216" s="12">
        <v>6000</v>
      </c>
      <c r="S216">
        <v>9000</v>
      </c>
      <c r="T216">
        <v>13000</v>
      </c>
      <c r="U216">
        <v>3000</v>
      </c>
    </row>
    <row r="217" spans="1:21" x14ac:dyDescent="0.25">
      <c r="A217">
        <v>2017</v>
      </c>
      <c r="B217" s="10" t="s">
        <v>18</v>
      </c>
      <c r="C217" s="11">
        <f t="shared" si="106"/>
        <v>25925</v>
      </c>
      <c r="D217" s="12">
        <v>1250</v>
      </c>
      <c r="E217" s="12">
        <v>75</v>
      </c>
      <c r="F217" s="12">
        <v>5000</v>
      </c>
      <c r="G217" s="12">
        <v>1500</v>
      </c>
      <c r="H217" s="12">
        <v>700</v>
      </c>
      <c r="I217" s="12">
        <v>700</v>
      </c>
      <c r="J217" s="12">
        <v>1750</v>
      </c>
      <c r="K217" s="12">
        <v>600</v>
      </c>
      <c r="L217" s="12">
        <v>3000</v>
      </c>
      <c r="M217" s="12">
        <v>200</v>
      </c>
      <c r="N217" s="12">
        <v>200</v>
      </c>
      <c r="O217" s="12">
        <v>350</v>
      </c>
      <c r="P217" s="12">
        <v>2250</v>
      </c>
      <c r="Q217" s="12">
        <v>1750</v>
      </c>
      <c r="R217" s="12">
        <v>600</v>
      </c>
      <c r="S217">
        <v>2250</v>
      </c>
      <c r="T217">
        <v>1750</v>
      </c>
      <c r="U217">
        <v>2000</v>
      </c>
    </row>
    <row r="218" spans="1:21" x14ac:dyDescent="0.25">
      <c r="A218">
        <v>2017</v>
      </c>
      <c r="B218" s="10" t="s">
        <v>19</v>
      </c>
      <c r="C218" s="11">
        <f t="shared" si="106"/>
        <v>42475</v>
      </c>
      <c r="D218" s="12">
        <v>500</v>
      </c>
      <c r="E218" s="12">
        <v>125</v>
      </c>
      <c r="F218" s="12">
        <v>5000</v>
      </c>
      <c r="G218" s="12">
        <v>1500</v>
      </c>
      <c r="H218" s="12">
        <v>600</v>
      </c>
      <c r="I218" s="12">
        <v>800</v>
      </c>
      <c r="J218" s="12">
        <v>5000</v>
      </c>
      <c r="K218" s="12">
        <v>1250</v>
      </c>
      <c r="L218" s="12">
        <v>8000</v>
      </c>
      <c r="M218" s="12">
        <v>300</v>
      </c>
      <c r="N218" s="12">
        <v>350</v>
      </c>
      <c r="O218" s="12">
        <v>800</v>
      </c>
      <c r="P218" s="12">
        <v>1500</v>
      </c>
      <c r="Q218" s="12">
        <v>2250</v>
      </c>
      <c r="R218" s="12">
        <v>1250</v>
      </c>
      <c r="S218">
        <v>3500</v>
      </c>
      <c r="T218">
        <v>8000</v>
      </c>
      <c r="U218">
        <v>1750</v>
      </c>
    </row>
    <row r="219" spans="1:21" x14ac:dyDescent="0.25">
      <c r="A219">
        <v>2017</v>
      </c>
      <c r="B219" s="10" t="s">
        <v>20</v>
      </c>
      <c r="C219" s="11">
        <f t="shared" si="106"/>
        <v>37850</v>
      </c>
      <c r="D219" s="12">
        <v>900</v>
      </c>
      <c r="E219" s="12">
        <v>1750</v>
      </c>
      <c r="F219" s="12">
        <v>7000</v>
      </c>
      <c r="G219" s="12">
        <v>2000</v>
      </c>
      <c r="H219" s="12">
        <v>600</v>
      </c>
      <c r="I219" s="12">
        <v>1250</v>
      </c>
      <c r="J219" s="12">
        <v>2500</v>
      </c>
      <c r="K219" s="12">
        <v>4000</v>
      </c>
      <c r="L219" s="12">
        <v>2250</v>
      </c>
      <c r="M219" s="12">
        <v>350</v>
      </c>
      <c r="N219" s="12">
        <v>250</v>
      </c>
      <c r="O219" s="12">
        <v>300</v>
      </c>
      <c r="P219" s="12">
        <v>3000</v>
      </c>
      <c r="Q219" s="12">
        <v>4500</v>
      </c>
      <c r="R219" s="12">
        <v>900</v>
      </c>
      <c r="S219">
        <v>3000</v>
      </c>
      <c r="T219">
        <v>2500</v>
      </c>
      <c r="U219">
        <v>800</v>
      </c>
    </row>
    <row r="220" spans="1:21" x14ac:dyDescent="0.25">
      <c r="A220">
        <v>2017</v>
      </c>
      <c r="B220" s="10" t="s">
        <v>21</v>
      </c>
      <c r="C220" s="11">
        <f t="shared" si="106"/>
        <v>260200</v>
      </c>
      <c r="D220" s="12">
        <v>200</v>
      </c>
      <c r="E220" s="12">
        <v>1500</v>
      </c>
      <c r="F220" s="12">
        <v>23000</v>
      </c>
      <c r="G220" s="12">
        <v>9000</v>
      </c>
      <c r="H220" s="12">
        <v>4500</v>
      </c>
      <c r="I220" s="12">
        <v>10000</v>
      </c>
      <c r="J220" s="12">
        <v>26000</v>
      </c>
      <c r="K220" s="12">
        <v>10000</v>
      </c>
      <c r="L220" s="12">
        <v>17000</v>
      </c>
      <c r="M220" s="12">
        <v>9000</v>
      </c>
      <c r="N220" s="12">
        <v>9000</v>
      </c>
      <c r="O220" s="12">
        <v>3000</v>
      </c>
      <c r="P220" s="12">
        <v>22000</v>
      </c>
      <c r="Q220" s="12">
        <v>21000</v>
      </c>
      <c r="R220" s="12">
        <v>12000</v>
      </c>
      <c r="S220">
        <v>32000</v>
      </c>
      <c r="T220">
        <v>41000</v>
      </c>
      <c r="U220">
        <v>10000</v>
      </c>
    </row>
    <row r="221" spans="1:21" x14ac:dyDescent="0.25">
      <c r="A221">
        <v>2017</v>
      </c>
      <c r="B221" s="10" t="s">
        <v>22</v>
      </c>
      <c r="C221" s="11">
        <f t="shared" si="106"/>
        <v>151700</v>
      </c>
      <c r="D221" s="12">
        <v>200</v>
      </c>
      <c r="E221" s="12">
        <v>2250</v>
      </c>
      <c r="F221" s="12">
        <v>17000</v>
      </c>
      <c r="G221" s="12">
        <v>7000</v>
      </c>
      <c r="H221" s="12">
        <v>4000</v>
      </c>
      <c r="I221" s="12">
        <v>9000</v>
      </c>
      <c r="J221" s="12">
        <v>14000</v>
      </c>
      <c r="K221" s="12">
        <v>16000</v>
      </c>
      <c r="L221" s="12">
        <v>9000</v>
      </c>
      <c r="M221" s="12">
        <v>2250</v>
      </c>
      <c r="N221" s="12">
        <v>1500</v>
      </c>
      <c r="O221" s="12">
        <v>2500</v>
      </c>
      <c r="P221" s="12">
        <v>8000</v>
      </c>
      <c r="Q221" s="12">
        <v>15000</v>
      </c>
      <c r="R221" s="12">
        <v>9000</v>
      </c>
      <c r="S221">
        <v>12000</v>
      </c>
      <c r="T221">
        <v>19000</v>
      </c>
      <c r="U221">
        <v>4000</v>
      </c>
    </row>
    <row r="222" spans="1:21" x14ac:dyDescent="0.25">
      <c r="A222">
        <v>2017</v>
      </c>
      <c r="B222" s="10" t="s">
        <v>23</v>
      </c>
      <c r="C222" s="11">
        <f t="shared" si="106"/>
        <v>106775</v>
      </c>
      <c r="D222" s="12">
        <v>225</v>
      </c>
      <c r="E222" s="12">
        <v>300</v>
      </c>
      <c r="F222" s="12">
        <v>4500</v>
      </c>
      <c r="G222" s="12">
        <v>4000</v>
      </c>
      <c r="H222" s="12">
        <v>1750</v>
      </c>
      <c r="I222" s="12">
        <v>2250</v>
      </c>
      <c r="J222" s="12">
        <v>14000</v>
      </c>
      <c r="K222" s="12">
        <v>5000</v>
      </c>
      <c r="L222" s="12">
        <v>12000</v>
      </c>
      <c r="M222" s="12">
        <v>3000</v>
      </c>
      <c r="N222" s="12">
        <v>4000</v>
      </c>
      <c r="O222" s="12">
        <v>1750</v>
      </c>
      <c r="P222" s="12">
        <v>9000</v>
      </c>
      <c r="Q222" s="12">
        <v>8000</v>
      </c>
      <c r="R222" s="12">
        <v>6000</v>
      </c>
      <c r="S222">
        <v>12000</v>
      </c>
      <c r="T222">
        <v>15000</v>
      </c>
      <c r="U222">
        <v>4000</v>
      </c>
    </row>
    <row r="223" spans="1:21" x14ac:dyDescent="0.25">
      <c r="A223">
        <v>2017</v>
      </c>
      <c r="B223" s="10" t="s">
        <v>27</v>
      </c>
      <c r="C223" s="11">
        <f t="shared" si="106"/>
        <v>276500</v>
      </c>
      <c r="D223" s="12">
        <v>7000</v>
      </c>
      <c r="E223" s="12">
        <v>3000</v>
      </c>
      <c r="F223" s="12">
        <v>32000</v>
      </c>
      <c r="G223" s="12">
        <v>14000</v>
      </c>
      <c r="H223" s="12">
        <v>6000</v>
      </c>
      <c r="I223" s="12">
        <v>11000</v>
      </c>
      <c r="J223" s="12">
        <v>25000</v>
      </c>
      <c r="K223" s="12">
        <v>13000</v>
      </c>
      <c r="L223" s="12">
        <v>33000</v>
      </c>
      <c r="M223" s="12">
        <v>4500</v>
      </c>
      <c r="N223" s="12">
        <v>5000</v>
      </c>
      <c r="O223" s="12">
        <v>4000</v>
      </c>
      <c r="P223" s="12">
        <v>22000</v>
      </c>
      <c r="Q223" s="12">
        <v>22000</v>
      </c>
      <c r="R223" s="12">
        <v>11000</v>
      </c>
      <c r="S223">
        <v>23000</v>
      </c>
      <c r="T223">
        <v>30000</v>
      </c>
      <c r="U223">
        <v>11000</v>
      </c>
    </row>
    <row r="224" spans="1:21" x14ac:dyDescent="0.25">
      <c r="A224">
        <v>2017</v>
      </c>
      <c r="B224" s="10" t="s">
        <v>11</v>
      </c>
      <c r="C224" s="11">
        <f t="shared" si="106"/>
        <v>558500</v>
      </c>
      <c r="D224" s="12">
        <v>1000</v>
      </c>
      <c r="E224" s="12">
        <v>4500</v>
      </c>
      <c r="F224" s="12">
        <v>59000</v>
      </c>
      <c r="G224" s="12">
        <v>28000</v>
      </c>
      <c r="H224" s="12">
        <v>12000</v>
      </c>
      <c r="I224" s="12">
        <v>20000</v>
      </c>
      <c r="J224" s="12">
        <v>56000</v>
      </c>
      <c r="K224" s="12">
        <v>31000</v>
      </c>
      <c r="L224" s="12">
        <v>36000</v>
      </c>
      <c r="M224" s="12">
        <v>13000</v>
      </c>
      <c r="N224" s="12">
        <v>14000</v>
      </c>
      <c r="O224" s="12">
        <v>6000</v>
      </c>
      <c r="P224" s="12">
        <v>39000</v>
      </c>
      <c r="Q224" s="12">
        <v>46000</v>
      </c>
      <c r="R224" s="12">
        <v>27000</v>
      </c>
      <c r="S224">
        <v>59000</v>
      </c>
      <c r="T224">
        <v>88000</v>
      </c>
      <c r="U224">
        <v>19000</v>
      </c>
    </row>
    <row r="225" spans="1:21" x14ac:dyDescent="0.25">
      <c r="A225">
        <v>2017</v>
      </c>
      <c r="B225" s="10" t="s">
        <v>12</v>
      </c>
      <c r="C225" s="11">
        <f t="shared" si="106"/>
        <v>1044500</v>
      </c>
      <c r="D225" s="12">
        <v>1500</v>
      </c>
      <c r="E225" s="12">
        <v>12000</v>
      </c>
      <c r="F225" s="12">
        <v>111000</v>
      </c>
      <c r="G225" s="12">
        <v>47000</v>
      </c>
      <c r="H225" s="12">
        <v>20000</v>
      </c>
      <c r="I225" s="12">
        <v>49000</v>
      </c>
      <c r="J225" s="12">
        <v>93000</v>
      </c>
      <c r="K225" s="12">
        <v>57000</v>
      </c>
      <c r="L225" s="12">
        <v>64000</v>
      </c>
      <c r="M225" s="12">
        <v>34000</v>
      </c>
      <c r="N225" s="12">
        <v>44000</v>
      </c>
      <c r="O225" s="12">
        <v>15000</v>
      </c>
      <c r="P225" s="12">
        <v>84000</v>
      </c>
      <c r="Q225" s="12">
        <v>106000</v>
      </c>
      <c r="R225" s="12">
        <v>41000</v>
      </c>
      <c r="S225">
        <v>98000</v>
      </c>
      <c r="T225">
        <v>131000</v>
      </c>
      <c r="U225">
        <v>37000</v>
      </c>
    </row>
    <row r="226" spans="1:21" x14ac:dyDescent="0.25">
      <c r="A226">
        <v>2017</v>
      </c>
      <c r="B226" s="10" t="s">
        <v>25</v>
      </c>
      <c r="C226" s="11">
        <f t="shared" si="106"/>
        <v>2385700</v>
      </c>
      <c r="D226" s="5">
        <f>SUM(D202:D222)</f>
        <v>13650</v>
      </c>
      <c r="E226" s="5">
        <f t="shared" ref="E226:U226" si="108">SUM(E202:E222)</f>
        <v>25675</v>
      </c>
      <c r="F226" s="5">
        <f t="shared" si="108"/>
        <v>271750</v>
      </c>
      <c r="G226" s="5">
        <f t="shared" si="108"/>
        <v>113250</v>
      </c>
      <c r="H226" s="5">
        <f t="shared" si="108"/>
        <v>48900</v>
      </c>
      <c r="I226" s="5">
        <f t="shared" si="108"/>
        <v>94600</v>
      </c>
      <c r="J226" s="5">
        <f t="shared" si="108"/>
        <v>229750</v>
      </c>
      <c r="K226" s="5">
        <f t="shared" si="108"/>
        <v>131950</v>
      </c>
      <c r="L226" s="5">
        <f t="shared" si="108"/>
        <v>173250</v>
      </c>
      <c r="M226" s="5">
        <f t="shared" si="108"/>
        <v>60425</v>
      </c>
      <c r="N226" s="5">
        <f t="shared" si="108"/>
        <v>71850</v>
      </c>
      <c r="O226" s="5">
        <f t="shared" si="108"/>
        <v>30700</v>
      </c>
      <c r="P226" s="5">
        <f t="shared" si="108"/>
        <v>173500</v>
      </c>
      <c r="Q226" s="5">
        <f t="shared" si="108"/>
        <v>214750</v>
      </c>
      <c r="R226" s="5">
        <f t="shared" si="108"/>
        <v>103150</v>
      </c>
      <c r="S226" s="5">
        <f t="shared" si="108"/>
        <v>225750</v>
      </c>
      <c r="T226" s="5">
        <f t="shared" si="108"/>
        <v>318750</v>
      </c>
      <c r="U226" s="5">
        <f t="shared" si="108"/>
        <v>84050</v>
      </c>
    </row>
    <row r="227" spans="1:21" x14ac:dyDescent="0.25">
      <c r="A227">
        <v>2018</v>
      </c>
      <c r="B227" s="10" t="s">
        <v>3</v>
      </c>
      <c r="C227" s="11">
        <f t="shared" si="106"/>
        <v>82250</v>
      </c>
      <c r="D227" s="12">
        <v>300</v>
      </c>
      <c r="E227" s="12">
        <v>700</v>
      </c>
      <c r="F227" s="12">
        <v>13000</v>
      </c>
      <c r="G227" s="12">
        <v>4000</v>
      </c>
      <c r="H227" s="12">
        <v>1500</v>
      </c>
      <c r="I227" s="12">
        <v>3000</v>
      </c>
      <c r="J227" s="12">
        <v>8000</v>
      </c>
      <c r="K227" s="12">
        <v>6000</v>
      </c>
      <c r="L227" s="12">
        <v>6000</v>
      </c>
      <c r="M227" s="12">
        <v>1500</v>
      </c>
      <c r="N227" s="12">
        <v>1000</v>
      </c>
      <c r="O227" s="12">
        <v>1250</v>
      </c>
      <c r="P227" s="12">
        <v>3000</v>
      </c>
      <c r="Q227" s="12">
        <v>7000</v>
      </c>
      <c r="R227" s="12">
        <v>2500</v>
      </c>
      <c r="S227">
        <v>7000</v>
      </c>
      <c r="T227">
        <v>14000</v>
      </c>
      <c r="U227">
        <v>2500</v>
      </c>
    </row>
    <row r="228" spans="1:21" x14ac:dyDescent="0.25">
      <c r="A228">
        <v>2018</v>
      </c>
      <c r="B228" s="10" t="s">
        <v>5</v>
      </c>
      <c r="C228" s="11">
        <f t="shared" si="106"/>
        <v>198300</v>
      </c>
      <c r="D228" s="12">
        <v>300</v>
      </c>
      <c r="E228" s="12">
        <v>3500</v>
      </c>
      <c r="F228" s="12">
        <v>27000</v>
      </c>
      <c r="G228" s="12">
        <v>6000</v>
      </c>
      <c r="H228" s="12">
        <v>3500</v>
      </c>
      <c r="I228" s="12">
        <v>9000</v>
      </c>
      <c r="J228" s="12">
        <v>20000</v>
      </c>
      <c r="K228" s="12">
        <v>9000</v>
      </c>
      <c r="L228" s="12">
        <v>12000</v>
      </c>
      <c r="M228" s="12">
        <v>5000</v>
      </c>
      <c r="N228" s="12">
        <v>7000</v>
      </c>
      <c r="O228" s="12">
        <v>3000</v>
      </c>
      <c r="P228" s="12">
        <v>12000</v>
      </c>
      <c r="Q228" s="12">
        <v>11000</v>
      </c>
      <c r="R228" s="12">
        <v>9000</v>
      </c>
      <c r="S228">
        <v>23000</v>
      </c>
      <c r="T228">
        <v>32000</v>
      </c>
      <c r="U228">
        <v>6000</v>
      </c>
    </row>
    <row r="229" spans="1:21" x14ac:dyDescent="0.25">
      <c r="A229">
        <v>2018</v>
      </c>
      <c r="B229" s="10" t="s">
        <v>4</v>
      </c>
      <c r="C229" s="11">
        <f t="shared" si="106"/>
        <v>90300</v>
      </c>
      <c r="D229" s="12">
        <v>200</v>
      </c>
      <c r="E229" s="12">
        <v>600</v>
      </c>
      <c r="F229" s="12">
        <v>14000</v>
      </c>
      <c r="G229" s="12">
        <v>3500</v>
      </c>
      <c r="H229" s="12">
        <v>1000</v>
      </c>
      <c r="I229" s="12">
        <v>4000</v>
      </c>
      <c r="J229" s="12">
        <v>7000</v>
      </c>
      <c r="K229" s="12">
        <v>3500</v>
      </c>
      <c r="L229" s="12">
        <v>7000</v>
      </c>
      <c r="M229" s="12">
        <v>2000</v>
      </c>
      <c r="N229" s="12">
        <v>7000</v>
      </c>
      <c r="O229" s="12">
        <v>1000</v>
      </c>
      <c r="P229" s="12">
        <v>4500</v>
      </c>
      <c r="Q229" s="12">
        <v>10000</v>
      </c>
      <c r="R229" s="12">
        <v>3000</v>
      </c>
      <c r="S229">
        <v>8000</v>
      </c>
      <c r="T229">
        <v>10000</v>
      </c>
      <c r="U229">
        <v>4000</v>
      </c>
    </row>
    <row r="230" spans="1:21" x14ac:dyDescent="0.25">
      <c r="A230">
        <v>2018</v>
      </c>
      <c r="B230" s="10" t="s">
        <v>6</v>
      </c>
      <c r="C230" s="11">
        <f t="shared" si="106"/>
        <v>29700</v>
      </c>
      <c r="D230" s="12">
        <v>600</v>
      </c>
      <c r="E230" s="12">
        <v>150</v>
      </c>
      <c r="F230" s="12">
        <v>3000</v>
      </c>
      <c r="G230" s="12">
        <v>1500</v>
      </c>
      <c r="H230" s="12">
        <v>400</v>
      </c>
      <c r="I230" s="12">
        <v>1250</v>
      </c>
      <c r="J230" s="12">
        <v>2500</v>
      </c>
      <c r="K230" s="12">
        <v>900</v>
      </c>
      <c r="L230" s="12">
        <v>3500</v>
      </c>
      <c r="M230" s="12">
        <v>600</v>
      </c>
      <c r="N230" s="12">
        <v>2000</v>
      </c>
      <c r="O230" s="12">
        <v>400</v>
      </c>
      <c r="P230" s="12">
        <v>2500</v>
      </c>
      <c r="Q230" s="12">
        <v>4500</v>
      </c>
      <c r="R230" s="12">
        <v>400</v>
      </c>
      <c r="S230">
        <v>2500</v>
      </c>
      <c r="T230">
        <v>2000</v>
      </c>
      <c r="U230">
        <v>1000</v>
      </c>
    </row>
    <row r="231" spans="1:21" x14ac:dyDescent="0.25">
      <c r="A231">
        <v>2018</v>
      </c>
      <c r="B231" s="10" t="s">
        <v>7</v>
      </c>
      <c r="C231" s="11">
        <f t="shared" si="106"/>
        <v>120700</v>
      </c>
      <c r="D231" s="12">
        <v>400</v>
      </c>
      <c r="E231" s="12">
        <v>1000</v>
      </c>
      <c r="F231" s="12">
        <v>11000</v>
      </c>
      <c r="G231" s="12">
        <v>7000</v>
      </c>
      <c r="H231" s="12">
        <v>3000</v>
      </c>
      <c r="I231" s="12">
        <v>4500</v>
      </c>
      <c r="J231" s="12">
        <v>12000</v>
      </c>
      <c r="K231" s="12">
        <v>11000</v>
      </c>
      <c r="L231" s="12">
        <v>7000</v>
      </c>
      <c r="M231" s="12">
        <v>2000</v>
      </c>
      <c r="N231" s="12">
        <v>3000</v>
      </c>
      <c r="O231" s="12">
        <v>800</v>
      </c>
      <c r="P231" s="12">
        <v>6000</v>
      </c>
      <c r="Q231" s="12">
        <v>10000</v>
      </c>
      <c r="R231" s="12">
        <v>7000</v>
      </c>
      <c r="S231">
        <v>11000</v>
      </c>
      <c r="T231">
        <v>20000</v>
      </c>
      <c r="U231">
        <v>4000</v>
      </c>
    </row>
    <row r="232" spans="1:21" x14ac:dyDescent="0.25">
      <c r="A232">
        <v>2018</v>
      </c>
      <c r="B232" s="10" t="s">
        <v>26</v>
      </c>
      <c r="C232" s="11">
        <f t="shared" si="106"/>
        <v>125750</v>
      </c>
      <c r="D232" s="12">
        <v>3500</v>
      </c>
      <c r="E232" s="12">
        <v>2250</v>
      </c>
      <c r="F232" s="12">
        <v>19000</v>
      </c>
      <c r="G232" s="12">
        <v>5000</v>
      </c>
      <c r="H232" s="12">
        <v>2250</v>
      </c>
      <c r="I232" s="12">
        <v>4500</v>
      </c>
      <c r="J232" s="12">
        <v>12000</v>
      </c>
      <c r="K232" s="12">
        <v>6000</v>
      </c>
      <c r="L232" s="12">
        <v>11000</v>
      </c>
      <c r="M232" s="12">
        <v>3000</v>
      </c>
      <c r="N232" s="12">
        <v>1250</v>
      </c>
      <c r="O232" s="12">
        <v>1500</v>
      </c>
      <c r="P232" s="12">
        <v>8000</v>
      </c>
      <c r="Q232" s="12">
        <v>8000</v>
      </c>
      <c r="R232" s="12">
        <v>8000</v>
      </c>
      <c r="S232">
        <v>11000</v>
      </c>
      <c r="T232">
        <v>15000</v>
      </c>
      <c r="U232">
        <v>4500</v>
      </c>
    </row>
    <row r="233" spans="1:21" x14ac:dyDescent="0.25">
      <c r="A233">
        <v>2018</v>
      </c>
      <c r="B233" s="10" t="s">
        <v>8</v>
      </c>
      <c r="C233" s="11">
        <f t="shared" si="106"/>
        <v>41300</v>
      </c>
      <c r="D233" s="12">
        <v>1500</v>
      </c>
      <c r="E233" s="12">
        <v>600</v>
      </c>
      <c r="F233" s="12">
        <v>6000</v>
      </c>
      <c r="G233" s="12">
        <v>2250</v>
      </c>
      <c r="H233" s="12">
        <v>500</v>
      </c>
      <c r="I233" s="12">
        <v>2000</v>
      </c>
      <c r="J233" s="12">
        <v>3500</v>
      </c>
      <c r="K233" s="12">
        <v>1500</v>
      </c>
      <c r="L233" s="12">
        <v>4000</v>
      </c>
      <c r="M233" s="12">
        <v>900</v>
      </c>
      <c r="N233" s="12">
        <v>350</v>
      </c>
      <c r="O233" s="12">
        <v>700</v>
      </c>
      <c r="P233" s="12">
        <v>2500</v>
      </c>
      <c r="Q233" s="12">
        <v>1500</v>
      </c>
      <c r="R233" s="12">
        <v>4500</v>
      </c>
      <c r="S233">
        <v>3000</v>
      </c>
      <c r="T233">
        <v>4500</v>
      </c>
      <c r="U233">
        <v>1500</v>
      </c>
    </row>
    <row r="234" spans="1:21" x14ac:dyDescent="0.25">
      <c r="A234">
        <v>2018</v>
      </c>
      <c r="B234" s="10" t="s">
        <v>9</v>
      </c>
      <c r="C234" s="11">
        <f t="shared" si="106"/>
        <v>79450</v>
      </c>
      <c r="D234" s="12">
        <v>1250</v>
      </c>
      <c r="E234" s="12">
        <v>700</v>
      </c>
      <c r="F234" s="12">
        <v>5000</v>
      </c>
      <c r="G234" s="12">
        <v>2500</v>
      </c>
      <c r="H234" s="12">
        <v>1500</v>
      </c>
      <c r="I234" s="12">
        <v>4500</v>
      </c>
      <c r="J234" s="12">
        <v>7000</v>
      </c>
      <c r="K234" s="12">
        <v>3000</v>
      </c>
      <c r="L234" s="12">
        <v>9000</v>
      </c>
      <c r="M234" s="12">
        <v>3000</v>
      </c>
      <c r="N234" s="12">
        <v>2250</v>
      </c>
      <c r="O234" s="12">
        <v>1250</v>
      </c>
      <c r="P234" s="12">
        <v>9000</v>
      </c>
      <c r="Q234" s="12">
        <v>6000</v>
      </c>
      <c r="R234" s="12">
        <v>2000</v>
      </c>
      <c r="S234">
        <v>7000</v>
      </c>
      <c r="T234">
        <v>11000</v>
      </c>
      <c r="U234">
        <v>3500</v>
      </c>
    </row>
    <row r="235" spans="1:21" x14ac:dyDescent="0.25">
      <c r="A235">
        <v>2018</v>
      </c>
      <c r="B235" s="10" t="s">
        <v>10</v>
      </c>
      <c r="C235" s="11">
        <f t="shared" si="106"/>
        <v>126125</v>
      </c>
      <c r="D235" s="12">
        <v>125</v>
      </c>
      <c r="E235" s="12">
        <v>1250</v>
      </c>
      <c r="F235" s="12">
        <v>21000</v>
      </c>
      <c r="G235" s="12">
        <v>5000</v>
      </c>
      <c r="H235" s="12">
        <v>2000</v>
      </c>
      <c r="I235" s="12">
        <v>4500</v>
      </c>
      <c r="J235" s="12">
        <v>13000</v>
      </c>
      <c r="K235" s="12">
        <v>6000</v>
      </c>
      <c r="L235" s="12">
        <v>7000</v>
      </c>
      <c r="M235" s="12">
        <v>2500</v>
      </c>
      <c r="N235" s="12">
        <v>1250</v>
      </c>
      <c r="O235" s="12">
        <v>1500</v>
      </c>
      <c r="P235" s="12">
        <v>6000</v>
      </c>
      <c r="Q235" s="12">
        <v>15000</v>
      </c>
      <c r="R235" s="12">
        <v>6000</v>
      </c>
      <c r="S235">
        <v>12000</v>
      </c>
      <c r="T235">
        <v>18000</v>
      </c>
      <c r="U235">
        <v>4000</v>
      </c>
    </row>
    <row r="236" spans="1:21" x14ac:dyDescent="0.25">
      <c r="A236">
        <v>2018</v>
      </c>
      <c r="B236" s="10" t="s">
        <v>13</v>
      </c>
      <c r="C236" s="11">
        <f t="shared" si="106"/>
        <v>154350</v>
      </c>
      <c r="D236" s="12">
        <v>350</v>
      </c>
      <c r="E236" s="12">
        <v>1250</v>
      </c>
      <c r="F236" s="12">
        <v>27000</v>
      </c>
      <c r="G236" s="12">
        <v>7000</v>
      </c>
      <c r="H236" s="12">
        <v>3000</v>
      </c>
      <c r="I236" s="12">
        <v>10000</v>
      </c>
      <c r="J236" s="12">
        <v>17000</v>
      </c>
      <c r="K236" s="12">
        <v>6000</v>
      </c>
      <c r="L236" s="12">
        <v>10000</v>
      </c>
      <c r="M236" s="12">
        <v>3500</v>
      </c>
      <c r="N236" s="12">
        <v>2000</v>
      </c>
      <c r="O236" s="12">
        <v>2250</v>
      </c>
      <c r="P236" s="12">
        <v>9000</v>
      </c>
      <c r="Q236" s="12">
        <v>10000</v>
      </c>
      <c r="R236" s="12">
        <v>5000</v>
      </c>
      <c r="S236">
        <v>17000</v>
      </c>
      <c r="T236">
        <v>19000</v>
      </c>
      <c r="U236">
        <v>5000</v>
      </c>
    </row>
    <row r="237" spans="1:21" x14ac:dyDescent="0.25">
      <c r="A237">
        <v>2018</v>
      </c>
      <c r="B237" s="10" t="s">
        <v>14</v>
      </c>
      <c r="C237" s="11">
        <f t="shared" si="106"/>
        <v>460600</v>
      </c>
      <c r="D237" s="12">
        <v>600</v>
      </c>
      <c r="E237" s="12">
        <v>8000</v>
      </c>
      <c r="F237" s="12">
        <v>29000</v>
      </c>
      <c r="G237" s="12">
        <v>17000</v>
      </c>
      <c r="H237" s="12">
        <v>6000</v>
      </c>
      <c r="I237" s="12">
        <v>17000</v>
      </c>
      <c r="J237" s="12">
        <v>33000</v>
      </c>
      <c r="K237" s="12">
        <v>23000</v>
      </c>
      <c r="L237" s="12">
        <v>28000</v>
      </c>
      <c r="M237" s="12">
        <v>27000</v>
      </c>
      <c r="N237" s="12">
        <v>27000</v>
      </c>
      <c r="O237" s="12">
        <v>7000</v>
      </c>
      <c r="P237" s="12">
        <v>51000</v>
      </c>
      <c r="Q237" s="12">
        <v>54000</v>
      </c>
      <c r="R237" s="12">
        <v>15000</v>
      </c>
      <c r="S237">
        <v>43000</v>
      </c>
      <c r="T237">
        <v>56000</v>
      </c>
      <c r="U237">
        <v>19000</v>
      </c>
    </row>
    <row r="238" spans="1:21" x14ac:dyDescent="0.25">
      <c r="A238">
        <v>2018</v>
      </c>
      <c r="B238" s="10" t="s">
        <v>15</v>
      </c>
      <c r="C238" s="11">
        <f t="shared" si="106"/>
        <v>67150</v>
      </c>
      <c r="D238" s="12">
        <v>150</v>
      </c>
      <c r="E238" s="12">
        <v>700</v>
      </c>
      <c r="F238" s="12">
        <v>11000</v>
      </c>
      <c r="G238" s="12">
        <v>2250</v>
      </c>
      <c r="H238" s="12">
        <v>1500</v>
      </c>
      <c r="I238" s="12">
        <v>2250</v>
      </c>
      <c r="J238" s="12">
        <v>7000</v>
      </c>
      <c r="K238" s="12">
        <v>6000</v>
      </c>
      <c r="L238" s="12">
        <v>4500</v>
      </c>
      <c r="M238" s="12">
        <v>600</v>
      </c>
      <c r="N238" s="12">
        <v>900</v>
      </c>
      <c r="O238" s="12">
        <v>800</v>
      </c>
      <c r="P238" s="12">
        <v>3000</v>
      </c>
      <c r="Q238" s="12">
        <v>5000</v>
      </c>
      <c r="R238" s="12">
        <v>2250</v>
      </c>
      <c r="S238">
        <v>7000</v>
      </c>
      <c r="T238">
        <v>10000</v>
      </c>
      <c r="U238">
        <v>2250</v>
      </c>
    </row>
    <row r="239" spans="1:21" x14ac:dyDescent="0.25">
      <c r="A239">
        <v>2018</v>
      </c>
      <c r="B239" s="10" t="s">
        <v>16</v>
      </c>
      <c r="C239" s="11">
        <f t="shared" si="106"/>
        <v>74850</v>
      </c>
      <c r="D239" s="12">
        <v>900</v>
      </c>
      <c r="E239" s="12">
        <v>1250</v>
      </c>
      <c r="F239" s="12">
        <v>17000</v>
      </c>
      <c r="G239" s="12">
        <v>5000</v>
      </c>
      <c r="H239" s="12">
        <v>1500</v>
      </c>
      <c r="I239" s="12">
        <v>2250</v>
      </c>
      <c r="J239" s="12">
        <v>6000</v>
      </c>
      <c r="K239" s="12">
        <v>7000</v>
      </c>
      <c r="L239" s="12">
        <v>4500</v>
      </c>
      <c r="M239" s="12">
        <v>600</v>
      </c>
      <c r="N239" s="12">
        <v>500</v>
      </c>
      <c r="O239" s="12">
        <v>600</v>
      </c>
      <c r="P239" s="12">
        <v>2500</v>
      </c>
      <c r="Q239" s="12">
        <v>6000</v>
      </c>
      <c r="R239" s="12">
        <v>2500</v>
      </c>
      <c r="S239">
        <v>6000</v>
      </c>
      <c r="T239">
        <v>9000</v>
      </c>
      <c r="U239">
        <v>1750</v>
      </c>
    </row>
    <row r="240" spans="1:21" x14ac:dyDescent="0.25">
      <c r="A240">
        <v>2018</v>
      </c>
      <c r="B240" s="10" t="s">
        <v>24</v>
      </c>
      <c r="C240" s="11">
        <f t="shared" si="106"/>
        <v>17825</v>
      </c>
      <c r="D240" s="12">
        <v>1000</v>
      </c>
      <c r="E240" s="12">
        <v>125</v>
      </c>
      <c r="F240" s="12">
        <v>1000</v>
      </c>
      <c r="G240" s="12">
        <v>1000</v>
      </c>
      <c r="H240" s="12">
        <v>350</v>
      </c>
      <c r="I240" s="12">
        <v>700</v>
      </c>
      <c r="J240" s="12">
        <v>1750</v>
      </c>
      <c r="K240" s="12">
        <v>900</v>
      </c>
      <c r="L240" s="12">
        <v>3000</v>
      </c>
      <c r="M240" s="12">
        <v>350</v>
      </c>
      <c r="N240" s="12">
        <v>100</v>
      </c>
      <c r="O240" s="12">
        <v>400</v>
      </c>
      <c r="P240" s="12">
        <v>1250</v>
      </c>
      <c r="Q240" s="12">
        <v>900</v>
      </c>
      <c r="R240" s="12">
        <v>1000</v>
      </c>
      <c r="S240">
        <v>1500</v>
      </c>
      <c r="T240">
        <v>1250</v>
      </c>
      <c r="U240">
        <v>1250</v>
      </c>
    </row>
    <row r="241" spans="1:21" x14ac:dyDescent="0.25">
      <c r="A241">
        <v>2018</v>
      </c>
      <c r="B241" s="10" t="s">
        <v>17</v>
      </c>
      <c r="C241" s="11">
        <f t="shared" si="106"/>
        <v>97525</v>
      </c>
      <c r="D241" s="12">
        <v>175</v>
      </c>
      <c r="E241" s="12">
        <v>1750</v>
      </c>
      <c r="F241" s="12">
        <v>15000</v>
      </c>
      <c r="G241" s="12">
        <v>5000</v>
      </c>
      <c r="H241" s="12">
        <v>1750</v>
      </c>
      <c r="I241" s="12">
        <v>3500</v>
      </c>
      <c r="J241" s="12">
        <v>9000</v>
      </c>
      <c r="K241" s="12">
        <v>5000</v>
      </c>
      <c r="L241" s="12">
        <v>6000</v>
      </c>
      <c r="M241" s="12">
        <v>3500</v>
      </c>
      <c r="N241" s="12">
        <v>1750</v>
      </c>
      <c r="O241" s="12">
        <v>600</v>
      </c>
      <c r="P241" s="12">
        <v>3500</v>
      </c>
      <c r="Q241" s="12">
        <v>9000</v>
      </c>
      <c r="R241" s="12">
        <v>6000</v>
      </c>
      <c r="S241">
        <v>10000</v>
      </c>
      <c r="T241">
        <v>13000</v>
      </c>
      <c r="U241">
        <v>3000</v>
      </c>
    </row>
    <row r="242" spans="1:21" x14ac:dyDescent="0.25">
      <c r="A242">
        <v>2018</v>
      </c>
      <c r="B242" s="10" t="s">
        <v>18</v>
      </c>
      <c r="C242" s="11">
        <f t="shared" ref="C242:C305" si="109">SUM(D242:U242)</f>
        <v>23975</v>
      </c>
      <c r="D242" s="12">
        <v>1250</v>
      </c>
      <c r="E242" s="12">
        <v>100</v>
      </c>
      <c r="F242" s="12">
        <v>5000</v>
      </c>
      <c r="G242" s="12">
        <v>900</v>
      </c>
      <c r="H242" s="12">
        <v>450</v>
      </c>
      <c r="I242" s="12">
        <v>900</v>
      </c>
      <c r="J242" s="12">
        <v>1750</v>
      </c>
      <c r="K242" s="12">
        <v>800</v>
      </c>
      <c r="L242" s="12">
        <v>2500</v>
      </c>
      <c r="M242" s="12">
        <v>200</v>
      </c>
      <c r="N242" s="12">
        <v>175</v>
      </c>
      <c r="O242" s="12">
        <v>350</v>
      </c>
      <c r="P242" s="12">
        <v>1750</v>
      </c>
      <c r="Q242" s="12">
        <v>1250</v>
      </c>
      <c r="R242" s="12">
        <v>600</v>
      </c>
      <c r="S242">
        <v>2250</v>
      </c>
      <c r="T242">
        <v>1750</v>
      </c>
      <c r="U242">
        <v>2000</v>
      </c>
    </row>
    <row r="243" spans="1:21" x14ac:dyDescent="0.25">
      <c r="A243">
        <v>2018</v>
      </c>
      <c r="B243" s="10" t="s">
        <v>19</v>
      </c>
      <c r="C243" s="11">
        <f t="shared" si="109"/>
        <v>42800</v>
      </c>
      <c r="D243" s="12">
        <v>600</v>
      </c>
      <c r="E243" s="12">
        <v>250</v>
      </c>
      <c r="F243" s="12">
        <v>5000</v>
      </c>
      <c r="G243" s="12">
        <v>1250</v>
      </c>
      <c r="H243" s="12">
        <v>400</v>
      </c>
      <c r="I243" s="12">
        <v>900</v>
      </c>
      <c r="J243" s="12">
        <v>5000</v>
      </c>
      <c r="K243" s="12">
        <v>1250</v>
      </c>
      <c r="L243" s="12">
        <v>8000</v>
      </c>
      <c r="M243" s="12">
        <v>600</v>
      </c>
      <c r="N243" s="12">
        <v>350</v>
      </c>
      <c r="O243" s="12">
        <v>700</v>
      </c>
      <c r="P243" s="12">
        <v>1250</v>
      </c>
      <c r="Q243" s="12">
        <v>2250</v>
      </c>
      <c r="R243" s="12">
        <v>1250</v>
      </c>
      <c r="S243">
        <v>4000</v>
      </c>
      <c r="T243">
        <v>8000</v>
      </c>
      <c r="U243">
        <v>1750</v>
      </c>
    </row>
    <row r="244" spans="1:21" x14ac:dyDescent="0.25">
      <c r="A244">
        <v>2018</v>
      </c>
      <c r="B244" s="10" t="s">
        <v>20</v>
      </c>
      <c r="C244" s="11">
        <f t="shared" si="109"/>
        <v>36175</v>
      </c>
      <c r="D244" s="12">
        <v>900</v>
      </c>
      <c r="E244" s="12">
        <v>1250</v>
      </c>
      <c r="F244" s="12">
        <v>6000</v>
      </c>
      <c r="G244" s="12">
        <v>2000</v>
      </c>
      <c r="H244" s="12">
        <v>450</v>
      </c>
      <c r="I244" s="12">
        <v>1250</v>
      </c>
      <c r="J244" s="12">
        <v>2250</v>
      </c>
      <c r="K244" s="12">
        <v>4000</v>
      </c>
      <c r="L244" s="12">
        <v>2250</v>
      </c>
      <c r="M244" s="12">
        <v>450</v>
      </c>
      <c r="N244" s="12">
        <v>225</v>
      </c>
      <c r="O244" s="12">
        <v>250</v>
      </c>
      <c r="P244" s="12">
        <v>2500</v>
      </c>
      <c r="Q244" s="12">
        <v>4500</v>
      </c>
      <c r="R244" s="12">
        <v>1000</v>
      </c>
      <c r="S244">
        <v>3500</v>
      </c>
      <c r="T244">
        <v>2500</v>
      </c>
      <c r="U244">
        <v>900</v>
      </c>
    </row>
    <row r="245" spans="1:21" x14ac:dyDescent="0.25">
      <c r="A245">
        <v>2018</v>
      </c>
      <c r="B245" s="10" t="s">
        <v>21</v>
      </c>
      <c r="C245" s="11">
        <f t="shared" si="109"/>
        <v>259500</v>
      </c>
      <c r="D245" s="12">
        <v>250</v>
      </c>
      <c r="E245" s="12">
        <v>1750</v>
      </c>
      <c r="F245" s="12">
        <v>24000</v>
      </c>
      <c r="G245" s="12">
        <v>8000</v>
      </c>
      <c r="H245" s="12">
        <v>3500</v>
      </c>
      <c r="I245" s="12">
        <v>10000</v>
      </c>
      <c r="J245" s="12">
        <v>27000</v>
      </c>
      <c r="K245" s="12">
        <v>10000</v>
      </c>
      <c r="L245" s="12">
        <v>17000</v>
      </c>
      <c r="M245" s="12">
        <v>11000</v>
      </c>
      <c r="N245" s="12">
        <v>9000</v>
      </c>
      <c r="O245" s="12">
        <v>3000</v>
      </c>
      <c r="P245" s="12">
        <v>20000</v>
      </c>
      <c r="Q245" s="12">
        <v>20000</v>
      </c>
      <c r="R245" s="12">
        <v>12000</v>
      </c>
      <c r="S245">
        <v>32000</v>
      </c>
      <c r="T245">
        <v>41000</v>
      </c>
      <c r="U245">
        <v>10000</v>
      </c>
    </row>
    <row r="246" spans="1:21" x14ac:dyDescent="0.25">
      <c r="A246">
        <v>2018</v>
      </c>
      <c r="B246" s="10" t="s">
        <v>22</v>
      </c>
      <c r="C246" s="11">
        <f t="shared" si="109"/>
        <v>153725</v>
      </c>
      <c r="D246" s="12">
        <v>225</v>
      </c>
      <c r="E246" s="12">
        <v>2500</v>
      </c>
      <c r="F246" s="12">
        <v>19000</v>
      </c>
      <c r="G246" s="12">
        <v>7000</v>
      </c>
      <c r="H246" s="12">
        <v>3000</v>
      </c>
      <c r="I246" s="12">
        <v>10000</v>
      </c>
      <c r="J246" s="12">
        <v>13000</v>
      </c>
      <c r="K246" s="12">
        <v>17000</v>
      </c>
      <c r="L246" s="12">
        <v>9000</v>
      </c>
      <c r="M246" s="12">
        <v>2500</v>
      </c>
      <c r="N246" s="12">
        <v>1500</v>
      </c>
      <c r="O246" s="12">
        <v>2500</v>
      </c>
      <c r="P246" s="12">
        <v>7000</v>
      </c>
      <c r="Q246" s="12">
        <v>14000</v>
      </c>
      <c r="R246" s="12">
        <v>9000</v>
      </c>
      <c r="S246">
        <v>11000</v>
      </c>
      <c r="T246">
        <v>21000</v>
      </c>
      <c r="U246">
        <v>4500</v>
      </c>
    </row>
    <row r="247" spans="1:21" x14ac:dyDescent="0.25">
      <c r="A247">
        <v>2018</v>
      </c>
      <c r="B247" s="10" t="s">
        <v>23</v>
      </c>
      <c r="C247" s="11">
        <f t="shared" si="109"/>
        <v>104450</v>
      </c>
      <c r="D247" s="12">
        <v>250</v>
      </c>
      <c r="E247" s="12">
        <v>450</v>
      </c>
      <c r="F247" s="12">
        <v>5000</v>
      </c>
      <c r="G247" s="12">
        <v>3500</v>
      </c>
      <c r="H247" s="12">
        <v>1250</v>
      </c>
      <c r="I247" s="12">
        <v>2000</v>
      </c>
      <c r="J247" s="12">
        <v>13000</v>
      </c>
      <c r="K247" s="12">
        <v>4500</v>
      </c>
      <c r="L247" s="12">
        <v>12000</v>
      </c>
      <c r="M247" s="12">
        <v>3500</v>
      </c>
      <c r="N247" s="12">
        <v>4000</v>
      </c>
      <c r="O247" s="12">
        <v>2000</v>
      </c>
      <c r="P247" s="12">
        <v>8000</v>
      </c>
      <c r="Q247" s="12">
        <v>7000</v>
      </c>
      <c r="R247" s="12">
        <v>6000</v>
      </c>
      <c r="S247">
        <v>12000</v>
      </c>
      <c r="T247">
        <v>16000</v>
      </c>
      <c r="U247">
        <v>4000</v>
      </c>
    </row>
    <row r="248" spans="1:21" x14ac:dyDescent="0.25">
      <c r="A248">
        <v>2018</v>
      </c>
      <c r="B248" s="10" t="s">
        <v>27</v>
      </c>
      <c r="C248" s="11">
        <f t="shared" si="109"/>
        <v>272500</v>
      </c>
      <c r="D248" s="12">
        <v>7000</v>
      </c>
      <c r="E248" s="12">
        <v>3500</v>
      </c>
      <c r="F248" s="12">
        <v>31000</v>
      </c>
      <c r="G248" s="12">
        <v>12000</v>
      </c>
      <c r="H248" s="12">
        <v>4000</v>
      </c>
      <c r="I248" s="12">
        <v>12000</v>
      </c>
      <c r="J248" s="12">
        <v>24000</v>
      </c>
      <c r="K248" s="12">
        <v>12000</v>
      </c>
      <c r="L248" s="12">
        <v>32000</v>
      </c>
      <c r="M248" s="12">
        <v>6000</v>
      </c>
      <c r="N248" s="12">
        <v>5000</v>
      </c>
      <c r="O248" s="12">
        <v>4000</v>
      </c>
      <c r="P248" s="12">
        <v>21000</v>
      </c>
      <c r="Q248" s="12">
        <v>22000</v>
      </c>
      <c r="R248" s="12">
        <v>11000</v>
      </c>
      <c r="S248">
        <v>24000</v>
      </c>
      <c r="T248">
        <v>30000</v>
      </c>
      <c r="U248">
        <v>12000</v>
      </c>
    </row>
    <row r="249" spans="1:21" x14ac:dyDescent="0.25">
      <c r="A249">
        <v>2018</v>
      </c>
      <c r="B249" s="10" t="s">
        <v>11</v>
      </c>
      <c r="C249" s="11">
        <f t="shared" si="109"/>
        <v>562250</v>
      </c>
      <c r="D249" s="12">
        <v>1250</v>
      </c>
      <c r="E249" s="12">
        <v>5000</v>
      </c>
      <c r="F249" s="12">
        <v>64000</v>
      </c>
      <c r="G249" s="12">
        <v>24000</v>
      </c>
      <c r="H249" s="12">
        <v>10000</v>
      </c>
      <c r="I249" s="12">
        <v>21000</v>
      </c>
      <c r="J249" s="12">
        <v>56000</v>
      </c>
      <c r="K249" s="12">
        <v>32000</v>
      </c>
      <c r="L249" s="12">
        <v>37000</v>
      </c>
      <c r="M249" s="12">
        <v>18000</v>
      </c>
      <c r="N249" s="12">
        <v>15000</v>
      </c>
      <c r="O249" s="12">
        <v>6000</v>
      </c>
      <c r="P249" s="12">
        <v>33000</v>
      </c>
      <c r="Q249" s="12">
        <v>46000</v>
      </c>
      <c r="R249" s="12">
        <v>26000</v>
      </c>
      <c r="S249">
        <v>60000</v>
      </c>
      <c r="T249">
        <v>88000</v>
      </c>
      <c r="U249">
        <v>20000</v>
      </c>
    </row>
    <row r="250" spans="1:21" x14ac:dyDescent="0.25">
      <c r="A250">
        <v>2018</v>
      </c>
      <c r="B250" s="10" t="s">
        <v>12</v>
      </c>
      <c r="C250" s="11">
        <f t="shared" si="109"/>
        <v>1058750</v>
      </c>
      <c r="D250" s="12">
        <v>1750</v>
      </c>
      <c r="E250" s="12">
        <v>16000</v>
      </c>
      <c r="F250" s="12">
        <v>116000</v>
      </c>
      <c r="G250" s="12">
        <v>41000</v>
      </c>
      <c r="H250" s="12">
        <v>16000</v>
      </c>
      <c r="I250" s="12">
        <v>49000</v>
      </c>
      <c r="J250" s="12">
        <v>91000</v>
      </c>
      <c r="K250" s="12">
        <v>58000</v>
      </c>
      <c r="L250" s="12">
        <v>66000</v>
      </c>
      <c r="M250" s="12">
        <v>40000</v>
      </c>
      <c r="N250" s="12">
        <v>45000</v>
      </c>
      <c r="O250" s="12">
        <v>15000</v>
      </c>
      <c r="P250" s="12">
        <v>84000</v>
      </c>
      <c r="Q250" s="12">
        <v>99000</v>
      </c>
      <c r="R250" s="12">
        <v>41000</v>
      </c>
      <c r="S250">
        <v>103000</v>
      </c>
      <c r="T250">
        <v>138000</v>
      </c>
      <c r="U250">
        <v>39000</v>
      </c>
    </row>
    <row r="251" spans="1:21" x14ac:dyDescent="0.25">
      <c r="A251">
        <v>2018</v>
      </c>
      <c r="B251" s="10" t="s">
        <v>25</v>
      </c>
      <c r="C251" s="11">
        <f t="shared" si="109"/>
        <v>2386800</v>
      </c>
      <c r="D251" s="5">
        <f>SUM(D227:D247)</f>
        <v>14825</v>
      </c>
      <c r="E251" s="5">
        <f t="shared" ref="E251:U251" si="110">SUM(E227:E247)</f>
        <v>30125</v>
      </c>
      <c r="F251" s="5">
        <f t="shared" si="110"/>
        <v>283000</v>
      </c>
      <c r="G251" s="5">
        <f t="shared" si="110"/>
        <v>96650</v>
      </c>
      <c r="H251" s="5">
        <f t="shared" si="110"/>
        <v>38800</v>
      </c>
      <c r="I251" s="5">
        <f t="shared" si="110"/>
        <v>98000</v>
      </c>
      <c r="J251" s="5">
        <f t="shared" si="110"/>
        <v>220750</v>
      </c>
      <c r="K251" s="5">
        <f t="shared" si="110"/>
        <v>132350</v>
      </c>
      <c r="L251" s="5">
        <f t="shared" si="110"/>
        <v>173250</v>
      </c>
      <c r="M251" s="5">
        <f t="shared" si="110"/>
        <v>74300</v>
      </c>
      <c r="N251" s="5">
        <f t="shared" si="110"/>
        <v>72600</v>
      </c>
      <c r="O251" s="5">
        <f t="shared" si="110"/>
        <v>31850</v>
      </c>
      <c r="P251" s="5">
        <f t="shared" si="110"/>
        <v>164250</v>
      </c>
      <c r="Q251" s="5">
        <f t="shared" si="110"/>
        <v>206900</v>
      </c>
      <c r="R251" s="5">
        <f t="shared" si="110"/>
        <v>104000</v>
      </c>
      <c r="S251" s="5">
        <f t="shared" si="110"/>
        <v>233750</v>
      </c>
      <c r="T251" s="5">
        <f t="shared" si="110"/>
        <v>325000</v>
      </c>
      <c r="U251" s="5">
        <f t="shared" si="110"/>
        <v>86400</v>
      </c>
    </row>
    <row r="252" spans="1:21" x14ac:dyDescent="0.25">
      <c r="A252">
        <v>2019</v>
      </c>
      <c r="B252" s="10" t="s">
        <v>3</v>
      </c>
      <c r="C252" s="11">
        <f t="shared" si="109"/>
        <v>82575</v>
      </c>
      <c r="D252" s="12">
        <v>225</v>
      </c>
      <c r="E252" s="12">
        <v>450</v>
      </c>
      <c r="F252" s="12">
        <v>12000</v>
      </c>
      <c r="G252" s="12">
        <v>5000</v>
      </c>
      <c r="H252" s="12">
        <v>1500</v>
      </c>
      <c r="I252" s="12">
        <v>3000</v>
      </c>
      <c r="J252" s="12">
        <v>9000</v>
      </c>
      <c r="K252" s="12">
        <v>6000</v>
      </c>
      <c r="L252" s="12">
        <v>5000</v>
      </c>
      <c r="M252" s="12">
        <v>1500</v>
      </c>
      <c r="N252" s="12">
        <v>900</v>
      </c>
      <c r="O252" s="12">
        <v>1250</v>
      </c>
      <c r="P252" s="12">
        <v>3500</v>
      </c>
      <c r="Q252" s="12">
        <v>7000</v>
      </c>
      <c r="R252" s="12">
        <v>1750</v>
      </c>
      <c r="S252">
        <v>7000</v>
      </c>
      <c r="T252">
        <v>14000</v>
      </c>
      <c r="U252">
        <v>3500</v>
      </c>
    </row>
    <row r="253" spans="1:21" x14ac:dyDescent="0.25">
      <c r="A253">
        <v>2019</v>
      </c>
      <c r="B253" s="10" t="s">
        <v>5</v>
      </c>
      <c r="C253" s="11">
        <f t="shared" si="109"/>
        <v>196800</v>
      </c>
      <c r="D253" s="12">
        <v>300</v>
      </c>
      <c r="E253" s="12">
        <v>3500</v>
      </c>
      <c r="F253" s="12">
        <v>27000</v>
      </c>
      <c r="G253" s="12">
        <v>8000</v>
      </c>
      <c r="H253" s="12">
        <v>3500</v>
      </c>
      <c r="I253" s="12">
        <v>9000</v>
      </c>
      <c r="J253" s="12">
        <v>21000</v>
      </c>
      <c r="K253" s="12">
        <v>7000</v>
      </c>
      <c r="L253" s="12">
        <v>11000</v>
      </c>
      <c r="M253" s="12">
        <v>4500</v>
      </c>
      <c r="N253" s="12">
        <v>6000</v>
      </c>
      <c r="O253" s="12">
        <v>3000</v>
      </c>
      <c r="P253" s="12">
        <v>12000</v>
      </c>
      <c r="Q253" s="12">
        <v>11000</v>
      </c>
      <c r="R253" s="12">
        <v>9000</v>
      </c>
      <c r="S253">
        <v>21000</v>
      </c>
      <c r="T253">
        <v>33000</v>
      </c>
      <c r="U253">
        <v>7000</v>
      </c>
    </row>
    <row r="254" spans="1:21" x14ac:dyDescent="0.25">
      <c r="A254">
        <v>2019</v>
      </c>
      <c r="B254" s="10" t="s">
        <v>4</v>
      </c>
      <c r="C254" s="11">
        <f t="shared" si="109"/>
        <v>91650</v>
      </c>
      <c r="D254" s="12">
        <v>200</v>
      </c>
      <c r="E254" s="12">
        <v>450</v>
      </c>
      <c r="F254" s="12">
        <v>13000</v>
      </c>
      <c r="G254" s="12">
        <v>5000</v>
      </c>
      <c r="H254" s="12">
        <v>1250</v>
      </c>
      <c r="I254" s="12">
        <v>4000</v>
      </c>
      <c r="J254" s="12">
        <v>8000</v>
      </c>
      <c r="K254" s="12">
        <v>3500</v>
      </c>
      <c r="L254" s="12">
        <v>6000</v>
      </c>
      <c r="M254" s="12">
        <v>2000</v>
      </c>
      <c r="N254" s="12">
        <v>7000</v>
      </c>
      <c r="O254" s="12">
        <v>1250</v>
      </c>
      <c r="P254" s="12">
        <v>5000</v>
      </c>
      <c r="Q254" s="12">
        <v>9000</v>
      </c>
      <c r="R254" s="12">
        <v>3000</v>
      </c>
      <c r="S254">
        <v>8000</v>
      </c>
      <c r="T254">
        <v>10000</v>
      </c>
      <c r="U254">
        <v>5000</v>
      </c>
    </row>
    <row r="255" spans="1:21" x14ac:dyDescent="0.25">
      <c r="A255">
        <v>2019</v>
      </c>
      <c r="B255" s="10" t="s">
        <v>6</v>
      </c>
      <c r="C255" s="11">
        <f t="shared" si="109"/>
        <v>29725</v>
      </c>
      <c r="D255" s="12">
        <v>600</v>
      </c>
      <c r="E255" s="12">
        <v>175</v>
      </c>
      <c r="F255" s="12">
        <v>2500</v>
      </c>
      <c r="G255" s="12">
        <v>2000</v>
      </c>
      <c r="H255" s="12">
        <v>450</v>
      </c>
      <c r="I255" s="12">
        <v>1250</v>
      </c>
      <c r="J255" s="12">
        <v>3000</v>
      </c>
      <c r="K255" s="12">
        <v>800</v>
      </c>
      <c r="L255" s="12">
        <v>3000</v>
      </c>
      <c r="M255" s="12">
        <v>450</v>
      </c>
      <c r="N255" s="12">
        <v>2000</v>
      </c>
      <c r="O255" s="12">
        <v>350</v>
      </c>
      <c r="P255" s="12">
        <v>2500</v>
      </c>
      <c r="Q255" s="12">
        <v>4500</v>
      </c>
      <c r="R255" s="12">
        <v>400</v>
      </c>
      <c r="S255">
        <v>2250</v>
      </c>
      <c r="T255">
        <v>2000</v>
      </c>
      <c r="U255">
        <v>1500</v>
      </c>
    </row>
    <row r="256" spans="1:21" x14ac:dyDescent="0.25">
      <c r="A256">
        <v>2019</v>
      </c>
      <c r="B256" s="10" t="s">
        <v>7</v>
      </c>
      <c r="C256" s="11">
        <f t="shared" si="109"/>
        <v>121550</v>
      </c>
      <c r="D256" s="12">
        <v>350</v>
      </c>
      <c r="E256" s="12">
        <v>800</v>
      </c>
      <c r="F256" s="12">
        <v>11000</v>
      </c>
      <c r="G256" s="12">
        <v>9000</v>
      </c>
      <c r="H256" s="12">
        <v>3000</v>
      </c>
      <c r="I256" s="12">
        <v>4500</v>
      </c>
      <c r="J256" s="12">
        <v>13000</v>
      </c>
      <c r="K256" s="12">
        <v>11000</v>
      </c>
      <c r="L256" s="12">
        <v>7000</v>
      </c>
      <c r="M256" s="12">
        <v>2000</v>
      </c>
      <c r="N256" s="12">
        <v>2500</v>
      </c>
      <c r="O256" s="12">
        <v>900</v>
      </c>
      <c r="P256" s="12">
        <v>6000</v>
      </c>
      <c r="Q256" s="12">
        <v>9000</v>
      </c>
      <c r="R256" s="12">
        <v>6000</v>
      </c>
      <c r="S256">
        <v>10000</v>
      </c>
      <c r="T256">
        <v>21000</v>
      </c>
      <c r="U256">
        <v>4500</v>
      </c>
    </row>
    <row r="257" spans="1:21" x14ac:dyDescent="0.25">
      <c r="A257">
        <v>2019</v>
      </c>
      <c r="B257" s="10" t="s">
        <v>26</v>
      </c>
      <c r="C257" s="11">
        <f t="shared" si="109"/>
        <v>126900</v>
      </c>
      <c r="D257" s="12">
        <v>3000</v>
      </c>
      <c r="E257" s="12">
        <v>2000</v>
      </c>
      <c r="F257" s="12">
        <v>18000</v>
      </c>
      <c r="G257" s="12">
        <v>7000</v>
      </c>
      <c r="H257" s="12">
        <v>2500</v>
      </c>
      <c r="I257" s="12">
        <v>4000</v>
      </c>
      <c r="J257" s="12">
        <v>14000</v>
      </c>
      <c r="K257" s="12">
        <v>5000</v>
      </c>
      <c r="L257" s="12">
        <v>9000</v>
      </c>
      <c r="M257" s="12">
        <v>3000</v>
      </c>
      <c r="N257" s="12">
        <v>900</v>
      </c>
      <c r="O257" s="12">
        <v>1500</v>
      </c>
      <c r="P257" s="12">
        <v>9000</v>
      </c>
      <c r="Q257" s="12">
        <v>7000</v>
      </c>
      <c r="R257" s="12">
        <v>8000</v>
      </c>
      <c r="S257">
        <v>11000</v>
      </c>
      <c r="T257">
        <v>16000</v>
      </c>
      <c r="U257">
        <v>6000</v>
      </c>
    </row>
    <row r="258" spans="1:21" x14ac:dyDescent="0.25">
      <c r="A258">
        <v>2019</v>
      </c>
      <c r="B258" s="10" t="s">
        <v>8</v>
      </c>
      <c r="C258" s="11">
        <f t="shared" si="109"/>
        <v>40700</v>
      </c>
      <c r="D258" s="12">
        <v>1500</v>
      </c>
      <c r="E258" s="12">
        <v>500</v>
      </c>
      <c r="F258" s="12">
        <v>6000</v>
      </c>
      <c r="G258" s="12">
        <v>3000</v>
      </c>
      <c r="H258" s="12">
        <v>600</v>
      </c>
      <c r="I258" s="12">
        <v>1750</v>
      </c>
      <c r="J258" s="12">
        <v>4000</v>
      </c>
      <c r="K258" s="12">
        <v>1000</v>
      </c>
      <c r="L258" s="12">
        <v>3500</v>
      </c>
      <c r="M258" s="12">
        <v>800</v>
      </c>
      <c r="N258" s="12">
        <v>250</v>
      </c>
      <c r="O258" s="12">
        <v>800</v>
      </c>
      <c r="P258" s="12">
        <v>2500</v>
      </c>
      <c r="Q258" s="12">
        <v>1500</v>
      </c>
      <c r="R258" s="12">
        <v>4500</v>
      </c>
      <c r="S258">
        <v>2500</v>
      </c>
      <c r="T258">
        <v>4000</v>
      </c>
      <c r="U258">
        <v>2000</v>
      </c>
    </row>
    <row r="259" spans="1:21" x14ac:dyDescent="0.25">
      <c r="A259">
        <v>2019</v>
      </c>
      <c r="B259" s="10" t="s">
        <v>9</v>
      </c>
      <c r="C259" s="11">
        <f t="shared" si="109"/>
        <v>75950</v>
      </c>
      <c r="D259" s="12">
        <v>1250</v>
      </c>
      <c r="E259" s="12">
        <v>700</v>
      </c>
      <c r="F259" s="12">
        <v>4500</v>
      </c>
      <c r="G259" s="12">
        <v>4000</v>
      </c>
      <c r="H259" s="12">
        <v>1500</v>
      </c>
      <c r="I259" s="12">
        <v>3500</v>
      </c>
      <c r="J259" s="12">
        <v>8000</v>
      </c>
      <c r="K259" s="12">
        <v>2500</v>
      </c>
      <c r="L259" s="12">
        <v>8000</v>
      </c>
      <c r="M259" s="12">
        <v>2250</v>
      </c>
      <c r="N259" s="12">
        <v>1750</v>
      </c>
      <c r="O259" s="12">
        <v>1500</v>
      </c>
      <c r="P259" s="12">
        <v>8000</v>
      </c>
      <c r="Q259" s="12">
        <v>5000</v>
      </c>
      <c r="R259" s="12">
        <v>2000</v>
      </c>
      <c r="S259">
        <v>6000</v>
      </c>
      <c r="T259">
        <v>11000</v>
      </c>
      <c r="U259">
        <v>4500</v>
      </c>
    </row>
    <row r="260" spans="1:21" x14ac:dyDescent="0.25">
      <c r="A260">
        <v>2019</v>
      </c>
      <c r="B260" s="10" t="s">
        <v>10</v>
      </c>
      <c r="C260" s="11">
        <f t="shared" si="109"/>
        <v>122500</v>
      </c>
      <c r="D260" s="12">
        <v>100</v>
      </c>
      <c r="E260" s="12">
        <v>900</v>
      </c>
      <c r="F260" s="12">
        <v>20000</v>
      </c>
      <c r="G260" s="12">
        <v>7000</v>
      </c>
      <c r="H260" s="12">
        <v>2000</v>
      </c>
      <c r="I260" s="12">
        <v>4000</v>
      </c>
      <c r="J260" s="12">
        <v>12000</v>
      </c>
      <c r="K260" s="12">
        <v>5000</v>
      </c>
      <c r="L260" s="12">
        <v>6000</v>
      </c>
      <c r="M260" s="12">
        <v>3000</v>
      </c>
      <c r="N260" s="12">
        <v>1000</v>
      </c>
      <c r="O260" s="12">
        <v>1500</v>
      </c>
      <c r="P260" s="12">
        <v>4500</v>
      </c>
      <c r="Q260" s="12">
        <v>15000</v>
      </c>
      <c r="R260" s="12">
        <v>6000</v>
      </c>
      <c r="S260">
        <v>11000</v>
      </c>
      <c r="T260">
        <v>19000</v>
      </c>
      <c r="U260">
        <v>4500</v>
      </c>
    </row>
    <row r="261" spans="1:21" x14ac:dyDescent="0.25">
      <c r="A261">
        <v>2019</v>
      </c>
      <c r="B261" s="10" t="s">
        <v>13</v>
      </c>
      <c r="C261" s="11">
        <f t="shared" si="109"/>
        <v>156450</v>
      </c>
      <c r="D261" s="12">
        <v>300</v>
      </c>
      <c r="E261" s="12">
        <v>900</v>
      </c>
      <c r="F261" s="12">
        <v>25000</v>
      </c>
      <c r="G261" s="12">
        <v>9000</v>
      </c>
      <c r="H261" s="12">
        <v>3500</v>
      </c>
      <c r="I261" s="12">
        <v>8000</v>
      </c>
      <c r="J261" s="12">
        <v>19000</v>
      </c>
      <c r="K261" s="12">
        <v>5000</v>
      </c>
      <c r="L261" s="12">
        <v>9000</v>
      </c>
      <c r="M261" s="12">
        <v>3000</v>
      </c>
      <c r="N261" s="12">
        <v>1750</v>
      </c>
      <c r="O261" s="12">
        <v>3000</v>
      </c>
      <c r="P261" s="12">
        <v>9000</v>
      </c>
      <c r="Q261" s="12">
        <v>9000</v>
      </c>
      <c r="R261" s="12">
        <v>5000</v>
      </c>
      <c r="S261">
        <v>17000</v>
      </c>
      <c r="T261">
        <v>22000</v>
      </c>
      <c r="U261">
        <v>7000</v>
      </c>
    </row>
    <row r="262" spans="1:21" x14ac:dyDescent="0.25">
      <c r="A262">
        <v>2019</v>
      </c>
      <c r="B262" s="10" t="s">
        <v>14</v>
      </c>
      <c r="C262" s="11">
        <f t="shared" si="109"/>
        <v>461600</v>
      </c>
      <c r="D262" s="12">
        <v>600</v>
      </c>
      <c r="E262" s="12">
        <v>7000</v>
      </c>
      <c r="F262" s="12">
        <v>28000</v>
      </c>
      <c r="G262" s="12">
        <v>22000</v>
      </c>
      <c r="H262" s="12">
        <v>6000</v>
      </c>
      <c r="I262" s="12">
        <v>15000</v>
      </c>
      <c r="J262" s="12">
        <v>35000</v>
      </c>
      <c r="K262" s="12">
        <v>20000</v>
      </c>
      <c r="L262" s="12">
        <v>26000</v>
      </c>
      <c r="M262" s="12">
        <v>25000</v>
      </c>
      <c r="N262" s="12">
        <v>26000</v>
      </c>
      <c r="O262" s="12">
        <v>7000</v>
      </c>
      <c r="P262" s="12">
        <v>49000</v>
      </c>
      <c r="Q262" s="12">
        <v>55000</v>
      </c>
      <c r="R262" s="12">
        <v>17000</v>
      </c>
      <c r="S262">
        <v>43000</v>
      </c>
      <c r="T262">
        <v>58000</v>
      </c>
      <c r="U262">
        <v>22000</v>
      </c>
    </row>
    <row r="263" spans="1:21" x14ac:dyDescent="0.25">
      <c r="A263">
        <v>2019</v>
      </c>
      <c r="B263" s="10" t="s">
        <v>15</v>
      </c>
      <c r="C263" s="11">
        <f t="shared" si="109"/>
        <v>65825</v>
      </c>
      <c r="D263" s="12">
        <v>125</v>
      </c>
      <c r="E263" s="12">
        <v>700</v>
      </c>
      <c r="F263" s="12">
        <v>11000</v>
      </c>
      <c r="G263" s="12">
        <v>3000</v>
      </c>
      <c r="H263" s="12">
        <v>1750</v>
      </c>
      <c r="I263" s="12">
        <v>2000</v>
      </c>
      <c r="J263" s="12">
        <v>8000</v>
      </c>
      <c r="K263" s="12">
        <v>5000</v>
      </c>
      <c r="L263" s="12">
        <v>4000</v>
      </c>
      <c r="M263" s="12">
        <v>500</v>
      </c>
      <c r="N263" s="12">
        <v>700</v>
      </c>
      <c r="O263" s="12">
        <v>800</v>
      </c>
      <c r="P263" s="12">
        <v>3500</v>
      </c>
      <c r="Q263" s="12">
        <v>4000</v>
      </c>
      <c r="R263" s="12">
        <v>2250</v>
      </c>
      <c r="S263">
        <v>6000</v>
      </c>
      <c r="T263">
        <v>10000</v>
      </c>
      <c r="U263">
        <v>2500</v>
      </c>
    </row>
    <row r="264" spans="1:21" x14ac:dyDescent="0.25">
      <c r="A264">
        <v>2019</v>
      </c>
      <c r="B264" s="10" t="s">
        <v>16</v>
      </c>
      <c r="C264" s="11">
        <f t="shared" si="109"/>
        <v>74400</v>
      </c>
      <c r="D264" s="12">
        <v>800</v>
      </c>
      <c r="E264" s="12">
        <v>1500</v>
      </c>
      <c r="F264" s="12">
        <v>17000</v>
      </c>
      <c r="G264" s="12">
        <v>6000</v>
      </c>
      <c r="H264" s="12">
        <v>1750</v>
      </c>
      <c r="I264" s="12">
        <v>2250</v>
      </c>
      <c r="J264" s="12">
        <v>7000</v>
      </c>
      <c r="K264" s="12">
        <v>6000</v>
      </c>
      <c r="L264" s="12">
        <v>3500</v>
      </c>
      <c r="M264" s="12">
        <v>600</v>
      </c>
      <c r="N264" s="12">
        <v>400</v>
      </c>
      <c r="O264" s="12">
        <v>600</v>
      </c>
      <c r="P264" s="12">
        <v>2500</v>
      </c>
      <c r="Q264" s="12">
        <v>5000</v>
      </c>
      <c r="R264" s="12">
        <v>2000</v>
      </c>
      <c r="S264">
        <v>5000</v>
      </c>
      <c r="T264">
        <v>10000</v>
      </c>
      <c r="U264">
        <v>2500</v>
      </c>
    </row>
    <row r="265" spans="1:21" x14ac:dyDescent="0.25">
      <c r="A265">
        <v>2019</v>
      </c>
      <c r="B265" s="10" t="s">
        <v>24</v>
      </c>
      <c r="C265" s="11">
        <f t="shared" si="109"/>
        <v>17375</v>
      </c>
      <c r="D265" s="12">
        <v>800</v>
      </c>
      <c r="E265" s="12">
        <v>150</v>
      </c>
      <c r="F265" s="12">
        <v>1250</v>
      </c>
      <c r="G265" s="12">
        <v>1500</v>
      </c>
      <c r="H265" s="12">
        <v>400</v>
      </c>
      <c r="I265" s="12">
        <v>700</v>
      </c>
      <c r="J265" s="12">
        <v>1750</v>
      </c>
      <c r="K265" s="12">
        <v>700</v>
      </c>
      <c r="L265" s="12">
        <v>2500</v>
      </c>
      <c r="M265" s="12">
        <v>250</v>
      </c>
      <c r="N265" s="12">
        <v>75</v>
      </c>
      <c r="O265" s="12">
        <v>400</v>
      </c>
      <c r="P265" s="12">
        <v>1250</v>
      </c>
      <c r="Q265" s="12">
        <v>900</v>
      </c>
      <c r="R265" s="12">
        <v>1000</v>
      </c>
      <c r="S265">
        <v>1250</v>
      </c>
      <c r="T265">
        <v>1250</v>
      </c>
      <c r="U265">
        <v>1250</v>
      </c>
    </row>
    <row r="266" spans="1:21" x14ac:dyDescent="0.25">
      <c r="A266">
        <v>2019</v>
      </c>
      <c r="B266" s="10" t="s">
        <v>17</v>
      </c>
      <c r="C266" s="11">
        <f t="shared" si="109"/>
        <v>99425</v>
      </c>
      <c r="D266" s="12">
        <v>175</v>
      </c>
      <c r="E266" s="12">
        <v>1500</v>
      </c>
      <c r="F266" s="12">
        <v>13000</v>
      </c>
      <c r="G266" s="12">
        <v>7000</v>
      </c>
      <c r="H266" s="12">
        <v>2000</v>
      </c>
      <c r="I266" s="12">
        <v>4000</v>
      </c>
      <c r="J266" s="12">
        <v>10000</v>
      </c>
      <c r="K266" s="12">
        <v>4500</v>
      </c>
      <c r="L266" s="12">
        <v>6000</v>
      </c>
      <c r="M266" s="12">
        <v>3500</v>
      </c>
      <c r="N266" s="12">
        <v>1250</v>
      </c>
      <c r="O266" s="12">
        <v>500</v>
      </c>
      <c r="P266" s="12">
        <v>4000</v>
      </c>
      <c r="Q266" s="12">
        <v>9000</v>
      </c>
      <c r="R266" s="12">
        <v>6000</v>
      </c>
      <c r="S266">
        <v>9000</v>
      </c>
      <c r="T266">
        <v>14000</v>
      </c>
      <c r="U266">
        <v>4000</v>
      </c>
    </row>
    <row r="267" spans="1:21" x14ac:dyDescent="0.25">
      <c r="A267">
        <v>2019</v>
      </c>
      <c r="B267" s="10" t="s">
        <v>18</v>
      </c>
      <c r="C267" s="11">
        <f t="shared" si="109"/>
        <v>25250</v>
      </c>
      <c r="D267" s="12">
        <v>1250</v>
      </c>
      <c r="E267" s="12">
        <v>125</v>
      </c>
      <c r="F267" s="12">
        <v>5000</v>
      </c>
      <c r="G267" s="12">
        <v>1500</v>
      </c>
      <c r="H267" s="12">
        <v>600</v>
      </c>
      <c r="I267" s="12">
        <v>800</v>
      </c>
      <c r="J267" s="12">
        <v>2250</v>
      </c>
      <c r="K267" s="12">
        <v>700</v>
      </c>
      <c r="L267" s="12">
        <v>2250</v>
      </c>
      <c r="M267" s="12">
        <v>250</v>
      </c>
      <c r="N267" s="12">
        <v>175</v>
      </c>
      <c r="O267" s="12">
        <v>350</v>
      </c>
      <c r="P267" s="12">
        <v>2000</v>
      </c>
      <c r="Q267" s="12">
        <v>1500</v>
      </c>
      <c r="R267" s="12">
        <v>500</v>
      </c>
      <c r="S267">
        <v>2000</v>
      </c>
      <c r="T267">
        <v>1750</v>
      </c>
      <c r="U267">
        <v>2250</v>
      </c>
    </row>
    <row r="268" spans="1:21" x14ac:dyDescent="0.25">
      <c r="A268">
        <v>2019</v>
      </c>
      <c r="B268" s="10" t="s">
        <v>19</v>
      </c>
      <c r="C268" s="11">
        <f t="shared" si="109"/>
        <v>42750</v>
      </c>
      <c r="D268" s="12">
        <v>500</v>
      </c>
      <c r="E268" s="12">
        <v>200</v>
      </c>
      <c r="F268" s="12">
        <v>5000</v>
      </c>
      <c r="G268" s="12">
        <v>1750</v>
      </c>
      <c r="H268" s="12">
        <v>500</v>
      </c>
      <c r="I268" s="12">
        <v>800</v>
      </c>
      <c r="J268" s="12">
        <v>5000</v>
      </c>
      <c r="K268" s="12">
        <v>1000</v>
      </c>
      <c r="L268" s="12">
        <v>7000</v>
      </c>
      <c r="M268" s="12">
        <v>400</v>
      </c>
      <c r="N268" s="12">
        <v>300</v>
      </c>
      <c r="O268" s="12">
        <v>800</v>
      </c>
      <c r="P268" s="12">
        <v>1250</v>
      </c>
      <c r="Q268" s="12">
        <v>3000</v>
      </c>
      <c r="R268" s="12">
        <v>1500</v>
      </c>
      <c r="S268">
        <v>3500</v>
      </c>
      <c r="T268">
        <v>8000</v>
      </c>
      <c r="U268">
        <v>2250</v>
      </c>
    </row>
    <row r="269" spans="1:21" x14ac:dyDescent="0.25">
      <c r="A269">
        <v>2019</v>
      </c>
      <c r="B269" s="10" t="s">
        <v>20</v>
      </c>
      <c r="C269" s="11">
        <f t="shared" si="109"/>
        <v>36050</v>
      </c>
      <c r="D269" s="12">
        <v>900</v>
      </c>
      <c r="E269" s="12">
        <v>1500</v>
      </c>
      <c r="F269" s="12">
        <v>7000</v>
      </c>
      <c r="G269" s="12">
        <v>2500</v>
      </c>
      <c r="H269" s="12">
        <v>600</v>
      </c>
      <c r="I269" s="12">
        <v>1000</v>
      </c>
      <c r="J269" s="12">
        <v>2250</v>
      </c>
      <c r="K269" s="12">
        <v>4000</v>
      </c>
      <c r="L269" s="12">
        <v>1750</v>
      </c>
      <c r="M269" s="12">
        <v>450</v>
      </c>
      <c r="N269" s="12">
        <v>150</v>
      </c>
      <c r="O269" s="12">
        <v>300</v>
      </c>
      <c r="P269" s="12">
        <v>2500</v>
      </c>
      <c r="Q269" s="12">
        <v>3500</v>
      </c>
      <c r="R269" s="12">
        <v>900</v>
      </c>
      <c r="S269">
        <v>2500</v>
      </c>
      <c r="T269">
        <v>3000</v>
      </c>
      <c r="U269">
        <v>1250</v>
      </c>
    </row>
    <row r="270" spans="1:21" x14ac:dyDescent="0.25">
      <c r="A270">
        <v>2019</v>
      </c>
      <c r="B270" s="10" t="s">
        <v>21</v>
      </c>
      <c r="C270" s="11">
        <f t="shared" si="109"/>
        <v>266450</v>
      </c>
      <c r="D270" s="12">
        <v>200</v>
      </c>
      <c r="E270" s="12">
        <v>1250</v>
      </c>
      <c r="F270" s="12">
        <v>22000</v>
      </c>
      <c r="G270" s="12">
        <v>10000</v>
      </c>
      <c r="H270" s="12">
        <v>4000</v>
      </c>
      <c r="I270" s="12">
        <v>10000</v>
      </c>
      <c r="J270" s="12">
        <v>27000</v>
      </c>
      <c r="K270" s="12">
        <v>12000</v>
      </c>
      <c r="L270" s="12">
        <v>16000</v>
      </c>
      <c r="M270" s="12">
        <v>12000</v>
      </c>
      <c r="N270" s="12">
        <v>9000</v>
      </c>
      <c r="O270" s="12">
        <v>3000</v>
      </c>
      <c r="P270" s="12">
        <v>21000</v>
      </c>
      <c r="Q270" s="12">
        <v>19000</v>
      </c>
      <c r="R270" s="12">
        <v>13000</v>
      </c>
      <c r="S270">
        <v>33000</v>
      </c>
      <c r="T270">
        <v>42000</v>
      </c>
      <c r="U270">
        <v>12000</v>
      </c>
    </row>
    <row r="271" spans="1:21" x14ac:dyDescent="0.25">
      <c r="A271">
        <v>2019</v>
      </c>
      <c r="B271" s="10" t="s">
        <v>22</v>
      </c>
      <c r="C271" s="11">
        <f t="shared" si="109"/>
        <v>154475</v>
      </c>
      <c r="D271" s="12">
        <v>225</v>
      </c>
      <c r="E271" s="12">
        <v>2000</v>
      </c>
      <c r="F271" s="12">
        <v>19000</v>
      </c>
      <c r="G271" s="12">
        <v>9000</v>
      </c>
      <c r="H271" s="12">
        <v>4000</v>
      </c>
      <c r="I271" s="12">
        <v>9000</v>
      </c>
      <c r="J271" s="12">
        <v>13000</v>
      </c>
      <c r="K271" s="12">
        <v>17000</v>
      </c>
      <c r="L271" s="12">
        <v>8000</v>
      </c>
      <c r="M271" s="12">
        <v>2250</v>
      </c>
      <c r="N271" s="12">
        <v>1500</v>
      </c>
      <c r="O271" s="12">
        <v>2500</v>
      </c>
      <c r="P271" s="12">
        <v>7000</v>
      </c>
      <c r="Q271" s="12">
        <v>13000</v>
      </c>
      <c r="R271" s="12">
        <v>9000</v>
      </c>
      <c r="S271">
        <v>11000</v>
      </c>
      <c r="T271">
        <v>22000</v>
      </c>
      <c r="U271">
        <v>5000</v>
      </c>
    </row>
    <row r="272" spans="1:21" x14ac:dyDescent="0.25">
      <c r="A272">
        <v>2019</v>
      </c>
      <c r="B272" s="10" t="s">
        <v>23</v>
      </c>
      <c r="C272" s="11">
        <f t="shared" si="109"/>
        <v>108225</v>
      </c>
      <c r="D272" s="12">
        <v>225</v>
      </c>
      <c r="E272" s="12">
        <v>250</v>
      </c>
      <c r="F272" s="12">
        <v>5000</v>
      </c>
      <c r="G272" s="12">
        <v>4500</v>
      </c>
      <c r="H272" s="12">
        <v>1500</v>
      </c>
      <c r="I272" s="12">
        <v>2000</v>
      </c>
      <c r="J272" s="12">
        <v>14000</v>
      </c>
      <c r="K272" s="12">
        <v>4500</v>
      </c>
      <c r="L272" s="12">
        <v>11000</v>
      </c>
      <c r="M272" s="12">
        <v>3500</v>
      </c>
      <c r="N272" s="12">
        <v>4000</v>
      </c>
      <c r="O272" s="12">
        <v>1750</v>
      </c>
      <c r="P272" s="12">
        <v>8000</v>
      </c>
      <c r="Q272" s="12">
        <v>9000</v>
      </c>
      <c r="R272" s="12">
        <v>6000</v>
      </c>
      <c r="S272">
        <v>12000</v>
      </c>
      <c r="T272">
        <v>16000</v>
      </c>
      <c r="U272">
        <v>5000</v>
      </c>
    </row>
    <row r="273" spans="1:21" x14ac:dyDescent="0.25">
      <c r="A273">
        <v>2019</v>
      </c>
      <c r="B273" s="10" t="s">
        <v>27</v>
      </c>
      <c r="C273" s="11">
        <f t="shared" si="109"/>
        <v>269000</v>
      </c>
      <c r="D273" s="12">
        <v>7000</v>
      </c>
      <c r="E273" s="12">
        <v>3000</v>
      </c>
      <c r="F273" s="12">
        <v>31000</v>
      </c>
      <c r="G273" s="12">
        <v>16000</v>
      </c>
      <c r="H273" s="12">
        <v>4500</v>
      </c>
      <c r="I273" s="12">
        <v>10000</v>
      </c>
      <c r="J273" s="12">
        <v>26000</v>
      </c>
      <c r="K273" s="12">
        <v>11000</v>
      </c>
      <c r="L273" s="12">
        <v>28000</v>
      </c>
      <c r="M273" s="12">
        <v>5000</v>
      </c>
      <c r="N273" s="12">
        <v>5000</v>
      </c>
      <c r="O273" s="12">
        <v>4500</v>
      </c>
      <c r="P273" s="12">
        <v>20000</v>
      </c>
      <c r="Q273" s="12">
        <v>20000</v>
      </c>
      <c r="R273" s="12">
        <v>11000</v>
      </c>
      <c r="S273">
        <v>20000</v>
      </c>
      <c r="T273">
        <v>32000</v>
      </c>
      <c r="U273">
        <v>15000</v>
      </c>
    </row>
    <row r="274" spans="1:21" x14ac:dyDescent="0.25">
      <c r="A274">
        <v>2019</v>
      </c>
      <c r="B274" s="10" t="s">
        <v>11</v>
      </c>
      <c r="C274" s="11">
        <f t="shared" si="109"/>
        <v>570000</v>
      </c>
      <c r="D274" s="12">
        <v>1000</v>
      </c>
      <c r="E274" s="12">
        <v>4000</v>
      </c>
      <c r="F274" s="12">
        <v>59000</v>
      </c>
      <c r="G274" s="12">
        <v>31000</v>
      </c>
      <c r="H274" s="12">
        <v>11000</v>
      </c>
      <c r="I274" s="12">
        <v>21000</v>
      </c>
      <c r="J274" s="12">
        <v>58000</v>
      </c>
      <c r="K274" s="12">
        <v>34000</v>
      </c>
      <c r="L274" s="12">
        <v>34000</v>
      </c>
      <c r="M274" s="12">
        <v>19000</v>
      </c>
      <c r="N274" s="12">
        <v>14000</v>
      </c>
      <c r="O274" s="12">
        <v>6000</v>
      </c>
      <c r="P274" s="12">
        <v>34000</v>
      </c>
      <c r="Q274" s="12">
        <v>43000</v>
      </c>
      <c r="R274" s="12">
        <v>27000</v>
      </c>
      <c r="S274">
        <v>59000</v>
      </c>
      <c r="T274">
        <v>91000</v>
      </c>
      <c r="U274">
        <v>24000</v>
      </c>
    </row>
    <row r="275" spans="1:21" x14ac:dyDescent="0.25">
      <c r="A275">
        <v>2019</v>
      </c>
      <c r="B275" s="10" t="s">
        <v>12</v>
      </c>
      <c r="C275" s="11">
        <f t="shared" si="109"/>
        <v>1062500</v>
      </c>
      <c r="D275" s="12">
        <v>1500</v>
      </c>
      <c r="E275" s="12">
        <v>14000</v>
      </c>
      <c r="F275" s="12">
        <v>112000</v>
      </c>
      <c r="G275" s="12">
        <v>54000</v>
      </c>
      <c r="H275" s="12">
        <v>19000</v>
      </c>
      <c r="I275" s="12">
        <v>45000</v>
      </c>
      <c r="J275" s="12">
        <v>96000</v>
      </c>
      <c r="K275" s="12">
        <v>54000</v>
      </c>
      <c r="L275" s="12">
        <v>60000</v>
      </c>
      <c r="M275" s="12">
        <v>37000</v>
      </c>
      <c r="N275" s="12">
        <v>42000</v>
      </c>
      <c r="O275" s="12">
        <v>16000</v>
      </c>
      <c r="P275" s="12">
        <v>82000</v>
      </c>
      <c r="Q275" s="12">
        <v>97000</v>
      </c>
      <c r="R275" s="12">
        <v>43000</v>
      </c>
      <c r="S275">
        <v>99000</v>
      </c>
      <c r="T275">
        <v>145000</v>
      </c>
      <c r="U275">
        <v>46000</v>
      </c>
    </row>
    <row r="276" spans="1:21" x14ac:dyDescent="0.25">
      <c r="A276">
        <v>2019</v>
      </c>
      <c r="B276" s="10" t="s">
        <v>25</v>
      </c>
      <c r="C276" s="11">
        <f t="shared" si="109"/>
        <v>2396625</v>
      </c>
      <c r="D276" s="5">
        <f>SUM(D252:D272)</f>
        <v>13625</v>
      </c>
      <c r="E276" s="5">
        <f t="shared" ref="E276:U276" si="111">SUM(E252:E272)</f>
        <v>26550</v>
      </c>
      <c r="F276" s="5">
        <f t="shared" si="111"/>
        <v>272250</v>
      </c>
      <c r="G276" s="5">
        <f t="shared" si="111"/>
        <v>127750</v>
      </c>
      <c r="H276" s="5">
        <f t="shared" si="111"/>
        <v>42900</v>
      </c>
      <c r="I276" s="5">
        <f t="shared" si="111"/>
        <v>90550</v>
      </c>
      <c r="J276" s="5">
        <f t="shared" si="111"/>
        <v>236250</v>
      </c>
      <c r="K276" s="5">
        <f t="shared" si="111"/>
        <v>122200</v>
      </c>
      <c r="L276" s="5">
        <f t="shared" si="111"/>
        <v>155500</v>
      </c>
      <c r="M276" s="5">
        <f t="shared" si="111"/>
        <v>71200</v>
      </c>
      <c r="N276" s="5">
        <f t="shared" si="111"/>
        <v>67600</v>
      </c>
      <c r="O276" s="5">
        <f t="shared" si="111"/>
        <v>33050</v>
      </c>
      <c r="P276" s="5">
        <f t="shared" si="111"/>
        <v>164000</v>
      </c>
      <c r="Q276" s="5">
        <f t="shared" si="111"/>
        <v>200900</v>
      </c>
      <c r="R276" s="5">
        <f t="shared" si="111"/>
        <v>104800</v>
      </c>
      <c r="S276" s="5">
        <f t="shared" si="111"/>
        <v>224000</v>
      </c>
      <c r="T276" s="5">
        <f t="shared" si="111"/>
        <v>338000</v>
      </c>
      <c r="U276" s="5">
        <f t="shared" si="111"/>
        <v>105500</v>
      </c>
    </row>
    <row r="277" spans="1:21" x14ac:dyDescent="0.25">
      <c r="A277">
        <v>2020</v>
      </c>
      <c r="B277" s="10" t="s">
        <v>3</v>
      </c>
      <c r="C277" s="11">
        <f t="shared" si="109"/>
        <v>81325</v>
      </c>
      <c r="D277" s="12">
        <v>225</v>
      </c>
      <c r="E277" s="12">
        <v>600</v>
      </c>
      <c r="F277" s="12">
        <v>13000</v>
      </c>
      <c r="G277" s="12">
        <v>5000</v>
      </c>
      <c r="H277" s="12">
        <v>1750</v>
      </c>
      <c r="I277" s="12">
        <v>3000</v>
      </c>
      <c r="J277" s="12">
        <v>8000</v>
      </c>
      <c r="K277" s="12">
        <v>6000</v>
      </c>
      <c r="L277" s="12">
        <v>5000</v>
      </c>
      <c r="M277" s="12">
        <v>1000</v>
      </c>
      <c r="N277" s="12">
        <v>1000</v>
      </c>
      <c r="O277" s="12">
        <v>1250</v>
      </c>
      <c r="P277" s="12">
        <v>3000</v>
      </c>
      <c r="Q277" s="12">
        <v>8000</v>
      </c>
      <c r="R277" s="12">
        <v>3000</v>
      </c>
      <c r="S277">
        <v>7000</v>
      </c>
      <c r="T277">
        <v>12000</v>
      </c>
      <c r="U277">
        <v>2500</v>
      </c>
    </row>
    <row r="278" spans="1:21" x14ac:dyDescent="0.25">
      <c r="A278">
        <v>2020</v>
      </c>
      <c r="B278" s="10" t="s">
        <v>5</v>
      </c>
      <c r="C278" s="11">
        <f t="shared" si="109"/>
        <v>193300</v>
      </c>
      <c r="D278" s="12">
        <v>300</v>
      </c>
      <c r="E278" s="12">
        <v>3000</v>
      </c>
      <c r="F278" s="12">
        <v>24000</v>
      </c>
      <c r="G278" s="12">
        <v>8000</v>
      </c>
      <c r="H278" s="12">
        <v>4000</v>
      </c>
      <c r="I278" s="12">
        <v>10000</v>
      </c>
      <c r="J278" s="12">
        <v>19000</v>
      </c>
      <c r="K278" s="12">
        <v>7000</v>
      </c>
      <c r="L278" s="12">
        <v>10000</v>
      </c>
      <c r="M278" s="12">
        <v>4000</v>
      </c>
      <c r="N278" s="12">
        <v>7000</v>
      </c>
      <c r="O278" s="12">
        <v>3000</v>
      </c>
      <c r="P278" s="12">
        <v>13000</v>
      </c>
      <c r="Q278" s="12">
        <v>12000</v>
      </c>
      <c r="R278" s="12">
        <v>9000</v>
      </c>
      <c r="S278">
        <v>21000</v>
      </c>
      <c r="T278">
        <v>33000</v>
      </c>
      <c r="U278">
        <v>6000</v>
      </c>
    </row>
    <row r="279" spans="1:21" x14ac:dyDescent="0.25">
      <c r="A279">
        <v>2020</v>
      </c>
      <c r="B279" s="10" t="s">
        <v>4</v>
      </c>
      <c r="C279" s="11">
        <f t="shared" si="109"/>
        <v>88450</v>
      </c>
      <c r="D279" s="12">
        <v>200</v>
      </c>
      <c r="E279" s="12">
        <v>500</v>
      </c>
      <c r="F279" s="12">
        <v>13000</v>
      </c>
      <c r="G279" s="12">
        <v>5000</v>
      </c>
      <c r="H279" s="12">
        <v>1500</v>
      </c>
      <c r="I279" s="12">
        <v>4500</v>
      </c>
      <c r="J279" s="12">
        <v>7000</v>
      </c>
      <c r="K279" s="12">
        <v>3000</v>
      </c>
      <c r="L279" s="12">
        <v>5000</v>
      </c>
      <c r="M279" s="12">
        <v>1500</v>
      </c>
      <c r="N279" s="12">
        <v>7000</v>
      </c>
      <c r="O279" s="12">
        <v>1250</v>
      </c>
      <c r="P279" s="12">
        <v>4500</v>
      </c>
      <c r="Q279" s="12">
        <v>11000</v>
      </c>
      <c r="R279" s="12">
        <v>3000</v>
      </c>
      <c r="S279">
        <v>8000</v>
      </c>
      <c r="T279">
        <v>9000</v>
      </c>
      <c r="U279">
        <v>3500</v>
      </c>
    </row>
    <row r="280" spans="1:21" x14ac:dyDescent="0.25">
      <c r="A280">
        <v>2020</v>
      </c>
      <c r="B280" s="10" t="s">
        <v>6</v>
      </c>
      <c r="C280" s="11">
        <f t="shared" si="109"/>
        <v>29775</v>
      </c>
      <c r="D280" s="12">
        <v>600</v>
      </c>
      <c r="E280" s="12">
        <v>175</v>
      </c>
      <c r="F280" s="12">
        <v>3500</v>
      </c>
      <c r="G280" s="12">
        <v>2000</v>
      </c>
      <c r="H280" s="12">
        <v>500</v>
      </c>
      <c r="I280" s="12">
        <v>1250</v>
      </c>
      <c r="J280" s="12">
        <v>2500</v>
      </c>
      <c r="K280" s="12">
        <v>700</v>
      </c>
      <c r="L280" s="12">
        <v>3000</v>
      </c>
      <c r="M280" s="12">
        <v>450</v>
      </c>
      <c r="N280" s="12">
        <v>2000</v>
      </c>
      <c r="O280" s="12">
        <v>350</v>
      </c>
      <c r="P280" s="12">
        <v>2250</v>
      </c>
      <c r="Q280" s="12">
        <v>5000</v>
      </c>
      <c r="R280" s="12">
        <v>500</v>
      </c>
      <c r="S280">
        <v>2250</v>
      </c>
      <c r="T280">
        <v>1750</v>
      </c>
      <c r="U280">
        <v>1000</v>
      </c>
    </row>
    <row r="281" spans="1:21" x14ac:dyDescent="0.25">
      <c r="A281">
        <v>2020</v>
      </c>
      <c r="B281" s="10" t="s">
        <v>7</v>
      </c>
      <c r="C281" s="11">
        <f t="shared" si="109"/>
        <v>119350</v>
      </c>
      <c r="D281" s="12">
        <v>350</v>
      </c>
      <c r="E281" s="12">
        <v>1250</v>
      </c>
      <c r="F281" s="12">
        <v>11000</v>
      </c>
      <c r="G281" s="12">
        <v>8000</v>
      </c>
      <c r="H281" s="12">
        <v>3500</v>
      </c>
      <c r="I281" s="12">
        <v>4500</v>
      </c>
      <c r="J281" s="12">
        <v>11000</v>
      </c>
      <c r="K281" s="12">
        <v>12000</v>
      </c>
      <c r="L281" s="12">
        <v>6000</v>
      </c>
      <c r="M281" s="12">
        <v>1750</v>
      </c>
      <c r="N281" s="12">
        <v>2500</v>
      </c>
      <c r="O281" s="12">
        <v>1000</v>
      </c>
      <c r="P281" s="12">
        <v>6000</v>
      </c>
      <c r="Q281" s="12">
        <v>10000</v>
      </c>
      <c r="R281" s="12">
        <v>6000</v>
      </c>
      <c r="S281">
        <v>10000</v>
      </c>
      <c r="T281">
        <v>20000</v>
      </c>
      <c r="U281">
        <v>4500</v>
      </c>
    </row>
    <row r="282" spans="1:21" x14ac:dyDescent="0.25">
      <c r="A282">
        <v>2020</v>
      </c>
      <c r="B282" s="10" t="s">
        <v>26</v>
      </c>
      <c r="C282" s="11">
        <f t="shared" si="109"/>
        <v>123150</v>
      </c>
      <c r="D282" s="12">
        <v>3000</v>
      </c>
      <c r="E282" s="12">
        <v>2250</v>
      </c>
      <c r="F282" s="12">
        <v>18000</v>
      </c>
      <c r="G282" s="12">
        <v>7000</v>
      </c>
      <c r="H282" s="12">
        <v>3000</v>
      </c>
      <c r="I282" s="12">
        <v>5000</v>
      </c>
      <c r="J282" s="12">
        <v>11000</v>
      </c>
      <c r="K282" s="12">
        <v>5000</v>
      </c>
      <c r="L282" s="12">
        <v>9000</v>
      </c>
      <c r="M282" s="12">
        <v>2500</v>
      </c>
      <c r="N282" s="12">
        <v>900</v>
      </c>
      <c r="O282" s="12">
        <v>1500</v>
      </c>
      <c r="P282" s="12">
        <v>8000</v>
      </c>
      <c r="Q282" s="12">
        <v>8000</v>
      </c>
      <c r="R282" s="12">
        <v>8000</v>
      </c>
      <c r="S282">
        <v>11000</v>
      </c>
      <c r="T282">
        <v>15000</v>
      </c>
      <c r="U282">
        <v>5000</v>
      </c>
    </row>
    <row r="283" spans="1:21" x14ac:dyDescent="0.25">
      <c r="A283">
        <v>2020</v>
      </c>
      <c r="B283" s="10" t="s">
        <v>8</v>
      </c>
      <c r="C283" s="11">
        <f t="shared" si="109"/>
        <v>38300</v>
      </c>
      <c r="D283" s="12">
        <v>1500</v>
      </c>
      <c r="E283" s="12">
        <v>600</v>
      </c>
      <c r="F283" s="12">
        <v>6000</v>
      </c>
      <c r="G283" s="12">
        <v>3000</v>
      </c>
      <c r="H283" s="12">
        <v>700</v>
      </c>
      <c r="I283" s="12">
        <v>2000</v>
      </c>
      <c r="J283" s="12">
        <v>3500</v>
      </c>
      <c r="K283" s="12">
        <v>1250</v>
      </c>
      <c r="L283" s="12">
        <v>3500</v>
      </c>
      <c r="M283" s="12">
        <v>700</v>
      </c>
      <c r="N283" s="12">
        <v>250</v>
      </c>
      <c r="O283" s="12">
        <v>800</v>
      </c>
      <c r="P283" s="12">
        <v>2250</v>
      </c>
      <c r="Q283" s="12">
        <v>1750</v>
      </c>
      <c r="R283" s="12">
        <v>2500</v>
      </c>
      <c r="S283">
        <v>2250</v>
      </c>
      <c r="T283">
        <v>4000</v>
      </c>
      <c r="U283">
        <v>1750</v>
      </c>
    </row>
    <row r="284" spans="1:21" x14ac:dyDescent="0.25">
      <c r="A284">
        <v>2020</v>
      </c>
      <c r="B284" s="10" t="s">
        <v>9</v>
      </c>
      <c r="C284" s="11">
        <f t="shared" si="109"/>
        <v>74700</v>
      </c>
      <c r="D284" s="12">
        <v>1250</v>
      </c>
      <c r="E284" s="12">
        <v>700</v>
      </c>
      <c r="F284" s="12">
        <v>4500</v>
      </c>
      <c r="G284" s="12">
        <v>3500</v>
      </c>
      <c r="H284" s="12">
        <v>1500</v>
      </c>
      <c r="I284" s="12">
        <v>4000</v>
      </c>
      <c r="J284" s="12">
        <v>7000</v>
      </c>
      <c r="K284" s="12">
        <v>2500</v>
      </c>
      <c r="L284" s="12">
        <v>8000</v>
      </c>
      <c r="M284" s="12">
        <v>2250</v>
      </c>
      <c r="N284" s="12">
        <v>2000</v>
      </c>
      <c r="O284" s="12">
        <v>1250</v>
      </c>
      <c r="P284" s="12">
        <v>8000</v>
      </c>
      <c r="Q284" s="12">
        <v>6000</v>
      </c>
      <c r="R284" s="12">
        <v>1750</v>
      </c>
      <c r="S284">
        <v>6000</v>
      </c>
      <c r="T284">
        <v>11000</v>
      </c>
      <c r="U284">
        <v>3500</v>
      </c>
    </row>
    <row r="285" spans="1:21" x14ac:dyDescent="0.25">
      <c r="A285">
        <v>2020</v>
      </c>
      <c r="B285" s="10" t="s">
        <v>10</v>
      </c>
      <c r="C285" s="11">
        <f t="shared" si="109"/>
        <v>120350</v>
      </c>
      <c r="D285" s="12">
        <v>100</v>
      </c>
      <c r="E285" s="12">
        <v>1000</v>
      </c>
      <c r="F285" s="12">
        <v>20000</v>
      </c>
      <c r="G285" s="12">
        <v>7000</v>
      </c>
      <c r="H285" s="12">
        <v>2250</v>
      </c>
      <c r="I285" s="12">
        <v>4000</v>
      </c>
      <c r="J285" s="12">
        <v>11000</v>
      </c>
      <c r="K285" s="12">
        <v>4500</v>
      </c>
      <c r="L285" s="12">
        <v>6000</v>
      </c>
      <c r="M285" s="12">
        <v>3000</v>
      </c>
      <c r="N285" s="12">
        <v>1250</v>
      </c>
      <c r="O285" s="12">
        <v>1750</v>
      </c>
      <c r="P285" s="12">
        <v>4500</v>
      </c>
      <c r="Q285" s="12">
        <v>16000</v>
      </c>
      <c r="R285" s="12">
        <v>6000</v>
      </c>
      <c r="S285">
        <v>11000</v>
      </c>
      <c r="T285">
        <v>17000</v>
      </c>
      <c r="U285">
        <v>4000</v>
      </c>
    </row>
    <row r="286" spans="1:21" x14ac:dyDescent="0.25">
      <c r="A286">
        <v>2020</v>
      </c>
      <c r="B286" s="10" t="s">
        <v>13</v>
      </c>
      <c r="C286" s="11">
        <f t="shared" si="109"/>
        <v>150300</v>
      </c>
      <c r="D286" s="12">
        <v>300</v>
      </c>
      <c r="E286" s="12">
        <v>1000</v>
      </c>
      <c r="F286" s="12">
        <v>24000</v>
      </c>
      <c r="G286" s="12">
        <v>9000</v>
      </c>
      <c r="H286" s="12">
        <v>3500</v>
      </c>
      <c r="I286" s="12">
        <v>8000</v>
      </c>
      <c r="J286" s="12">
        <v>17000</v>
      </c>
      <c r="K286" s="12">
        <v>6000</v>
      </c>
      <c r="L286" s="12">
        <v>8000</v>
      </c>
      <c r="M286" s="12">
        <v>2500</v>
      </c>
      <c r="N286" s="12">
        <v>2000</v>
      </c>
      <c r="O286" s="12">
        <v>3000</v>
      </c>
      <c r="P286" s="12">
        <v>8000</v>
      </c>
      <c r="Q286" s="12">
        <v>10000</v>
      </c>
      <c r="R286" s="12">
        <v>5000</v>
      </c>
      <c r="S286">
        <v>17000</v>
      </c>
      <c r="T286">
        <v>20000</v>
      </c>
      <c r="U286">
        <v>6000</v>
      </c>
    </row>
    <row r="287" spans="1:21" x14ac:dyDescent="0.25">
      <c r="A287">
        <v>2020</v>
      </c>
      <c r="B287" s="10" t="s">
        <v>14</v>
      </c>
      <c r="C287" s="11">
        <f t="shared" si="109"/>
        <v>451600</v>
      </c>
      <c r="D287" s="12">
        <v>600</v>
      </c>
      <c r="E287" s="12">
        <v>7000</v>
      </c>
      <c r="F287" s="12">
        <v>25000</v>
      </c>
      <c r="G287" s="12">
        <v>21000</v>
      </c>
      <c r="H287" s="12">
        <v>6000</v>
      </c>
      <c r="I287" s="12">
        <v>16000</v>
      </c>
      <c r="J287" s="12">
        <v>31000</v>
      </c>
      <c r="K287" s="12">
        <v>21000</v>
      </c>
      <c r="L287" s="12">
        <v>24000</v>
      </c>
      <c r="M287" s="12">
        <v>23000</v>
      </c>
      <c r="N287" s="12">
        <v>25000</v>
      </c>
      <c r="O287" s="12">
        <v>7000</v>
      </c>
      <c r="P287" s="12">
        <v>49000</v>
      </c>
      <c r="Q287" s="12">
        <v>60000</v>
      </c>
      <c r="R287" s="12">
        <v>17000</v>
      </c>
      <c r="S287">
        <v>43000</v>
      </c>
      <c r="T287">
        <v>57000</v>
      </c>
      <c r="U287">
        <v>19000</v>
      </c>
    </row>
    <row r="288" spans="1:21" x14ac:dyDescent="0.25">
      <c r="A288">
        <v>2020</v>
      </c>
      <c r="B288" s="10" t="s">
        <v>15</v>
      </c>
      <c r="C288" s="11">
        <f t="shared" si="109"/>
        <v>65625</v>
      </c>
      <c r="D288" s="12">
        <v>125</v>
      </c>
      <c r="E288" s="12">
        <v>900</v>
      </c>
      <c r="F288" s="12">
        <v>11000</v>
      </c>
      <c r="G288" s="12">
        <v>3000</v>
      </c>
      <c r="H288" s="12">
        <v>2000</v>
      </c>
      <c r="I288" s="12">
        <v>2000</v>
      </c>
      <c r="J288" s="12">
        <v>6000</v>
      </c>
      <c r="K288" s="12">
        <v>5000</v>
      </c>
      <c r="L288" s="12">
        <v>4000</v>
      </c>
      <c r="M288" s="12">
        <v>450</v>
      </c>
      <c r="N288" s="12">
        <v>600</v>
      </c>
      <c r="O288" s="12">
        <v>800</v>
      </c>
      <c r="P288" s="12">
        <v>3000</v>
      </c>
      <c r="Q288" s="12">
        <v>5000</v>
      </c>
      <c r="R288" s="12">
        <v>1500</v>
      </c>
      <c r="S288">
        <v>6000</v>
      </c>
      <c r="T288">
        <v>12000</v>
      </c>
      <c r="U288">
        <v>2250</v>
      </c>
    </row>
    <row r="289" spans="1:21" x14ac:dyDescent="0.25">
      <c r="A289">
        <v>2020</v>
      </c>
      <c r="B289" s="10" t="s">
        <v>16</v>
      </c>
      <c r="C289" s="11">
        <f t="shared" si="109"/>
        <v>73300</v>
      </c>
      <c r="D289" s="12">
        <v>900</v>
      </c>
      <c r="E289" s="12">
        <v>1250</v>
      </c>
      <c r="F289" s="12">
        <v>18000</v>
      </c>
      <c r="G289" s="12">
        <v>6000</v>
      </c>
      <c r="H289" s="12">
        <v>2000</v>
      </c>
      <c r="I289" s="12">
        <v>2000</v>
      </c>
      <c r="J289" s="12">
        <v>6000</v>
      </c>
      <c r="K289" s="12">
        <v>6000</v>
      </c>
      <c r="L289" s="12">
        <v>3500</v>
      </c>
      <c r="M289" s="12">
        <v>500</v>
      </c>
      <c r="N289" s="12">
        <v>450</v>
      </c>
      <c r="O289" s="12">
        <v>700</v>
      </c>
      <c r="P289" s="12">
        <v>2500</v>
      </c>
      <c r="Q289" s="12">
        <v>5000</v>
      </c>
      <c r="R289" s="12">
        <v>2500</v>
      </c>
      <c r="S289">
        <v>5000</v>
      </c>
      <c r="T289">
        <v>9000</v>
      </c>
      <c r="U289">
        <v>2000</v>
      </c>
    </row>
    <row r="290" spans="1:21" x14ac:dyDescent="0.25">
      <c r="A290">
        <v>2020</v>
      </c>
      <c r="B290" s="10" t="s">
        <v>24</v>
      </c>
      <c r="C290" s="11">
        <f t="shared" si="109"/>
        <v>17250</v>
      </c>
      <c r="D290" s="12">
        <v>1000</v>
      </c>
      <c r="E290" s="12">
        <v>125</v>
      </c>
      <c r="F290" s="12">
        <v>1250</v>
      </c>
      <c r="G290" s="12">
        <v>1250</v>
      </c>
      <c r="H290" s="12">
        <v>450</v>
      </c>
      <c r="I290" s="12">
        <v>700</v>
      </c>
      <c r="J290" s="12">
        <v>1500</v>
      </c>
      <c r="K290" s="12">
        <v>700</v>
      </c>
      <c r="L290" s="12">
        <v>2500</v>
      </c>
      <c r="M290" s="12">
        <v>225</v>
      </c>
      <c r="N290" s="12">
        <v>100</v>
      </c>
      <c r="O290" s="12">
        <v>400</v>
      </c>
      <c r="P290" s="12">
        <v>1250</v>
      </c>
      <c r="Q290" s="12">
        <v>1250</v>
      </c>
      <c r="R290" s="12">
        <v>1000</v>
      </c>
      <c r="S290">
        <v>1250</v>
      </c>
      <c r="T290">
        <v>800</v>
      </c>
      <c r="U290">
        <v>1500</v>
      </c>
    </row>
    <row r="291" spans="1:21" x14ac:dyDescent="0.25">
      <c r="A291">
        <v>2020</v>
      </c>
      <c r="B291" s="10" t="s">
        <v>17</v>
      </c>
      <c r="C291" s="11">
        <f t="shared" si="109"/>
        <v>100950</v>
      </c>
      <c r="D291" s="12">
        <v>200</v>
      </c>
      <c r="E291" s="12">
        <v>2500</v>
      </c>
      <c r="F291" s="12">
        <v>14000</v>
      </c>
      <c r="G291" s="12">
        <v>7000</v>
      </c>
      <c r="H291" s="12">
        <v>2000</v>
      </c>
      <c r="I291" s="12">
        <v>4000</v>
      </c>
      <c r="J291" s="12">
        <v>9000</v>
      </c>
      <c r="K291" s="12">
        <v>6000</v>
      </c>
      <c r="L291" s="12">
        <v>6000</v>
      </c>
      <c r="M291" s="12">
        <v>3000</v>
      </c>
      <c r="N291" s="12">
        <v>1250</v>
      </c>
      <c r="O291" s="12">
        <v>500</v>
      </c>
      <c r="P291" s="12">
        <v>4000</v>
      </c>
      <c r="Q291" s="12">
        <v>10000</v>
      </c>
      <c r="R291" s="12">
        <v>6000</v>
      </c>
      <c r="S291">
        <v>9000</v>
      </c>
      <c r="T291">
        <v>13000</v>
      </c>
      <c r="U291">
        <v>3500</v>
      </c>
    </row>
    <row r="292" spans="1:21" x14ac:dyDescent="0.25">
      <c r="A292">
        <v>2020</v>
      </c>
      <c r="B292" s="10" t="s">
        <v>18</v>
      </c>
      <c r="C292" s="11">
        <f t="shared" si="109"/>
        <v>25200</v>
      </c>
      <c r="D292" s="12">
        <v>1250</v>
      </c>
      <c r="E292" s="12">
        <v>150</v>
      </c>
      <c r="F292" s="12">
        <v>6000</v>
      </c>
      <c r="G292" s="12">
        <v>1250</v>
      </c>
      <c r="H292" s="12">
        <v>600</v>
      </c>
      <c r="I292" s="12">
        <v>1000</v>
      </c>
      <c r="J292" s="12">
        <v>1750</v>
      </c>
      <c r="K292" s="12">
        <v>600</v>
      </c>
      <c r="L292" s="12">
        <v>2250</v>
      </c>
      <c r="M292" s="12">
        <v>200</v>
      </c>
      <c r="N292" s="12">
        <v>250</v>
      </c>
      <c r="O292" s="12">
        <v>300</v>
      </c>
      <c r="P292" s="12">
        <v>1750</v>
      </c>
      <c r="Q292" s="12">
        <v>1750</v>
      </c>
      <c r="R292" s="12">
        <v>600</v>
      </c>
      <c r="S292">
        <v>2000</v>
      </c>
      <c r="T292">
        <v>1500</v>
      </c>
      <c r="U292">
        <v>2000</v>
      </c>
    </row>
    <row r="293" spans="1:21" x14ac:dyDescent="0.25">
      <c r="A293">
        <v>2020</v>
      </c>
      <c r="B293" s="10" t="s">
        <v>19</v>
      </c>
      <c r="C293" s="11">
        <f t="shared" si="109"/>
        <v>41450</v>
      </c>
      <c r="D293" s="12">
        <v>600</v>
      </c>
      <c r="E293" s="12">
        <v>500</v>
      </c>
      <c r="F293" s="12">
        <v>5000</v>
      </c>
      <c r="G293" s="12">
        <v>1500</v>
      </c>
      <c r="H293" s="12">
        <v>600</v>
      </c>
      <c r="I293" s="12">
        <v>800</v>
      </c>
      <c r="J293" s="12">
        <v>4500</v>
      </c>
      <c r="K293" s="12">
        <v>1000</v>
      </c>
      <c r="L293" s="12">
        <v>7000</v>
      </c>
      <c r="M293" s="12">
        <v>350</v>
      </c>
      <c r="N293" s="12">
        <v>300</v>
      </c>
      <c r="O293" s="12">
        <v>800</v>
      </c>
      <c r="P293" s="12">
        <v>1500</v>
      </c>
      <c r="Q293" s="12">
        <v>3500</v>
      </c>
      <c r="R293" s="12">
        <v>1750</v>
      </c>
      <c r="S293">
        <v>3000</v>
      </c>
      <c r="T293">
        <v>7000</v>
      </c>
      <c r="U293">
        <v>1750</v>
      </c>
    </row>
    <row r="294" spans="1:21" x14ac:dyDescent="0.25">
      <c r="A294">
        <v>2020</v>
      </c>
      <c r="B294" s="10" t="s">
        <v>20</v>
      </c>
      <c r="C294" s="11">
        <f t="shared" si="109"/>
        <v>35500</v>
      </c>
      <c r="D294" s="12">
        <v>900</v>
      </c>
      <c r="E294" s="12">
        <v>2000</v>
      </c>
      <c r="F294" s="12">
        <v>8000</v>
      </c>
      <c r="G294" s="12">
        <v>2250</v>
      </c>
      <c r="H294" s="12">
        <v>600</v>
      </c>
      <c r="I294" s="12">
        <v>1250</v>
      </c>
      <c r="J294" s="12">
        <v>2000</v>
      </c>
      <c r="K294" s="12">
        <v>3000</v>
      </c>
      <c r="L294" s="12">
        <v>1750</v>
      </c>
      <c r="M294" s="12">
        <v>350</v>
      </c>
      <c r="N294" s="12">
        <v>150</v>
      </c>
      <c r="O294" s="12">
        <v>350</v>
      </c>
      <c r="P294" s="12">
        <v>2500</v>
      </c>
      <c r="Q294" s="12">
        <v>4000</v>
      </c>
      <c r="R294" s="12">
        <v>900</v>
      </c>
      <c r="S294">
        <v>2500</v>
      </c>
      <c r="T294">
        <v>2000</v>
      </c>
      <c r="U294">
        <v>1000</v>
      </c>
    </row>
    <row r="295" spans="1:21" x14ac:dyDescent="0.25">
      <c r="A295">
        <v>2020</v>
      </c>
      <c r="B295" s="10" t="s">
        <v>21</v>
      </c>
      <c r="C295" s="11">
        <f t="shared" si="109"/>
        <v>254950</v>
      </c>
      <c r="D295" s="12">
        <v>200</v>
      </c>
      <c r="E295" s="12">
        <v>1750</v>
      </c>
      <c r="F295" s="12">
        <v>20000</v>
      </c>
      <c r="G295" s="12">
        <v>9000</v>
      </c>
      <c r="H295" s="12">
        <v>4000</v>
      </c>
      <c r="I295" s="12">
        <v>9000</v>
      </c>
      <c r="J295" s="12">
        <v>23000</v>
      </c>
      <c r="K295" s="12">
        <v>10000</v>
      </c>
      <c r="L295" s="12">
        <v>16000</v>
      </c>
      <c r="M295" s="12">
        <v>10000</v>
      </c>
      <c r="N295" s="12">
        <v>9000</v>
      </c>
      <c r="O295" s="12">
        <v>3000</v>
      </c>
      <c r="P295" s="12">
        <v>19000</v>
      </c>
      <c r="Q295" s="12">
        <v>22000</v>
      </c>
      <c r="R295" s="12">
        <v>16000</v>
      </c>
      <c r="S295">
        <v>32000</v>
      </c>
      <c r="T295">
        <v>41000</v>
      </c>
      <c r="U295">
        <v>10000</v>
      </c>
    </row>
    <row r="296" spans="1:21" x14ac:dyDescent="0.25">
      <c r="A296">
        <v>2020</v>
      </c>
      <c r="B296" s="10" t="s">
        <v>22</v>
      </c>
      <c r="C296" s="11">
        <f t="shared" si="109"/>
        <v>151725</v>
      </c>
      <c r="D296" s="12">
        <v>225</v>
      </c>
      <c r="E296" s="12">
        <v>2000</v>
      </c>
      <c r="F296" s="12">
        <v>18000</v>
      </c>
      <c r="G296" s="12">
        <v>8000</v>
      </c>
      <c r="H296" s="12">
        <v>4000</v>
      </c>
      <c r="I296" s="12">
        <v>9000</v>
      </c>
      <c r="J296" s="12">
        <v>11000</v>
      </c>
      <c r="K296" s="12">
        <v>16000</v>
      </c>
      <c r="L296" s="12">
        <v>8000</v>
      </c>
      <c r="M296" s="12">
        <v>2000</v>
      </c>
      <c r="N296" s="12">
        <v>1500</v>
      </c>
      <c r="O296" s="12">
        <v>2500</v>
      </c>
      <c r="P296" s="12">
        <v>7000</v>
      </c>
      <c r="Q296" s="12">
        <v>14000</v>
      </c>
      <c r="R296" s="12">
        <v>10000</v>
      </c>
      <c r="S296">
        <v>12000</v>
      </c>
      <c r="T296">
        <v>22000</v>
      </c>
      <c r="U296">
        <v>4500</v>
      </c>
    </row>
    <row r="297" spans="1:21" x14ac:dyDescent="0.25">
      <c r="A297">
        <v>2020</v>
      </c>
      <c r="B297" s="10" t="s">
        <v>23</v>
      </c>
      <c r="C297" s="11">
        <f t="shared" si="109"/>
        <v>104575</v>
      </c>
      <c r="D297" s="12">
        <v>225</v>
      </c>
      <c r="E297" s="12">
        <v>350</v>
      </c>
      <c r="F297" s="12">
        <v>4000</v>
      </c>
      <c r="G297" s="12">
        <v>4000</v>
      </c>
      <c r="H297" s="12">
        <v>1500</v>
      </c>
      <c r="I297" s="12">
        <v>2000</v>
      </c>
      <c r="J297" s="12">
        <v>13000</v>
      </c>
      <c r="K297" s="12">
        <v>4500</v>
      </c>
      <c r="L297" s="12">
        <v>10000</v>
      </c>
      <c r="M297" s="12">
        <v>3000</v>
      </c>
      <c r="N297" s="12">
        <v>4000</v>
      </c>
      <c r="O297" s="12">
        <v>2500</v>
      </c>
      <c r="P297" s="12">
        <v>8000</v>
      </c>
      <c r="Q297" s="12">
        <v>10000</v>
      </c>
      <c r="R297" s="12">
        <v>6000</v>
      </c>
      <c r="S297">
        <v>12000</v>
      </c>
      <c r="T297">
        <v>15000</v>
      </c>
      <c r="U297">
        <v>4500</v>
      </c>
    </row>
    <row r="298" spans="1:21" x14ac:dyDescent="0.25">
      <c r="A298">
        <v>2020</v>
      </c>
      <c r="B298" s="10" t="s">
        <v>27</v>
      </c>
      <c r="C298" s="11">
        <f t="shared" si="109"/>
        <v>262500</v>
      </c>
      <c r="D298" s="12">
        <v>7000</v>
      </c>
      <c r="E298" s="12">
        <v>4000</v>
      </c>
      <c r="F298" s="12">
        <v>34000</v>
      </c>
      <c r="G298" s="12">
        <v>15000</v>
      </c>
      <c r="H298" s="12">
        <v>5000</v>
      </c>
      <c r="I298" s="12">
        <v>11000</v>
      </c>
      <c r="J298" s="12">
        <v>23000</v>
      </c>
      <c r="K298" s="12">
        <v>10000</v>
      </c>
      <c r="L298" s="12">
        <v>28000</v>
      </c>
      <c r="M298" s="12">
        <v>4500</v>
      </c>
      <c r="N298" s="12">
        <v>5000</v>
      </c>
      <c r="O298" s="12">
        <v>4000</v>
      </c>
      <c r="P298" s="12">
        <v>19000</v>
      </c>
      <c r="Q298" s="12">
        <v>24000</v>
      </c>
      <c r="R298" s="12">
        <v>9000</v>
      </c>
      <c r="S298">
        <v>20000</v>
      </c>
      <c r="T298">
        <v>28000</v>
      </c>
      <c r="U298">
        <v>12000</v>
      </c>
    </row>
    <row r="299" spans="1:21" x14ac:dyDescent="0.25">
      <c r="A299">
        <v>2020</v>
      </c>
      <c r="B299" s="10" t="s">
        <v>11</v>
      </c>
      <c r="C299" s="11">
        <f t="shared" si="109"/>
        <v>560000</v>
      </c>
      <c r="D299" s="12">
        <v>1000</v>
      </c>
      <c r="E299" s="12">
        <v>6000</v>
      </c>
      <c r="F299" s="12">
        <v>59000</v>
      </c>
      <c r="G299" s="12">
        <v>30000</v>
      </c>
      <c r="H299" s="12">
        <v>11000</v>
      </c>
      <c r="I299" s="12">
        <v>21000</v>
      </c>
      <c r="J299" s="12">
        <v>51000</v>
      </c>
      <c r="K299" s="12">
        <v>35000</v>
      </c>
      <c r="L299" s="12">
        <v>32000</v>
      </c>
      <c r="M299" s="12">
        <v>16000</v>
      </c>
      <c r="N299" s="12">
        <v>14000</v>
      </c>
      <c r="O299" s="12">
        <v>6000</v>
      </c>
      <c r="P299" s="12">
        <v>32000</v>
      </c>
      <c r="Q299" s="12">
        <v>51000</v>
      </c>
      <c r="R299" s="12">
        <v>31000</v>
      </c>
      <c r="S299">
        <v>58000</v>
      </c>
      <c r="T299">
        <v>85000</v>
      </c>
      <c r="U299">
        <v>21000</v>
      </c>
    </row>
    <row r="300" spans="1:21" x14ac:dyDescent="0.25">
      <c r="A300">
        <v>2020</v>
      </c>
      <c r="B300" s="10" t="s">
        <v>12</v>
      </c>
      <c r="C300" s="11">
        <f t="shared" si="109"/>
        <v>1036750</v>
      </c>
      <c r="D300" s="12">
        <v>1750</v>
      </c>
      <c r="E300" s="12">
        <v>14000</v>
      </c>
      <c r="F300" s="12">
        <v>104000</v>
      </c>
      <c r="G300" s="12">
        <v>50000</v>
      </c>
      <c r="H300" s="12">
        <v>19000</v>
      </c>
      <c r="I300" s="12">
        <v>48000</v>
      </c>
      <c r="J300" s="12">
        <v>85000</v>
      </c>
      <c r="K300" s="12">
        <v>53000</v>
      </c>
      <c r="L300" s="12">
        <v>55000</v>
      </c>
      <c r="M300" s="12">
        <v>33000</v>
      </c>
      <c r="N300" s="12">
        <v>42000</v>
      </c>
      <c r="O300" s="12">
        <v>18000</v>
      </c>
      <c r="P300" s="12">
        <v>82000</v>
      </c>
      <c r="Q300" s="12">
        <v>108000</v>
      </c>
      <c r="R300" s="12">
        <v>44000</v>
      </c>
      <c r="S300">
        <v>100000</v>
      </c>
      <c r="T300">
        <v>140000</v>
      </c>
      <c r="U300">
        <v>40000</v>
      </c>
    </row>
    <row r="301" spans="1:21" x14ac:dyDescent="0.25">
      <c r="A301">
        <v>2020</v>
      </c>
      <c r="B301" s="10" t="s">
        <v>25</v>
      </c>
      <c r="C301" s="11">
        <f t="shared" si="109"/>
        <v>2341125</v>
      </c>
      <c r="D301" s="5">
        <f>SUM(D277:D297)</f>
        <v>14050</v>
      </c>
      <c r="E301" s="5">
        <f t="shared" ref="E301:U301" si="112">SUM(E277:E297)</f>
        <v>29600</v>
      </c>
      <c r="F301" s="5">
        <f t="shared" si="112"/>
        <v>267250</v>
      </c>
      <c r="G301" s="5">
        <f t="shared" si="112"/>
        <v>121750</v>
      </c>
      <c r="H301" s="5">
        <f t="shared" si="112"/>
        <v>45950</v>
      </c>
      <c r="I301" s="5">
        <f t="shared" si="112"/>
        <v>94000</v>
      </c>
      <c r="J301" s="5">
        <f t="shared" si="112"/>
        <v>205750</v>
      </c>
      <c r="K301" s="5">
        <f t="shared" si="112"/>
        <v>121750</v>
      </c>
      <c r="L301" s="5">
        <f t="shared" si="112"/>
        <v>148500</v>
      </c>
      <c r="M301" s="5">
        <f t="shared" si="112"/>
        <v>62725</v>
      </c>
      <c r="N301" s="5">
        <f t="shared" si="112"/>
        <v>68500</v>
      </c>
      <c r="O301" s="5">
        <f t="shared" si="112"/>
        <v>34000</v>
      </c>
      <c r="P301" s="5">
        <f t="shared" si="112"/>
        <v>159000</v>
      </c>
      <c r="Q301" s="5">
        <f t="shared" si="112"/>
        <v>224250</v>
      </c>
      <c r="R301" s="5">
        <f t="shared" si="112"/>
        <v>108000</v>
      </c>
      <c r="S301" s="5">
        <f t="shared" si="112"/>
        <v>223250</v>
      </c>
      <c r="T301" s="5">
        <f t="shared" si="112"/>
        <v>323050</v>
      </c>
      <c r="U301" s="5">
        <f t="shared" si="112"/>
        <v>89750</v>
      </c>
    </row>
    <row r="302" spans="1:21" x14ac:dyDescent="0.25">
      <c r="A302">
        <v>2021</v>
      </c>
      <c r="B302" s="10" t="s">
        <v>3</v>
      </c>
      <c r="C302" s="11">
        <f t="shared" si="109"/>
        <v>84850</v>
      </c>
      <c r="D302" s="12">
        <v>200</v>
      </c>
      <c r="E302" s="12">
        <v>500</v>
      </c>
      <c r="F302" s="12">
        <v>12000</v>
      </c>
      <c r="G302" s="12">
        <v>5000</v>
      </c>
      <c r="H302" s="12">
        <v>1500</v>
      </c>
      <c r="I302" s="12">
        <v>2500</v>
      </c>
      <c r="J302" s="12">
        <v>8000</v>
      </c>
      <c r="K302" s="12">
        <v>7000</v>
      </c>
      <c r="L302" s="12">
        <v>6000</v>
      </c>
      <c r="M302" s="12">
        <v>1250</v>
      </c>
      <c r="N302" s="12">
        <v>900</v>
      </c>
      <c r="O302" s="12">
        <v>1500</v>
      </c>
      <c r="P302" s="12">
        <v>3500</v>
      </c>
      <c r="Q302" s="12">
        <v>7000</v>
      </c>
      <c r="R302" s="12">
        <v>3000</v>
      </c>
      <c r="S302">
        <v>8000</v>
      </c>
      <c r="T302">
        <v>14000</v>
      </c>
      <c r="U302">
        <v>3000</v>
      </c>
    </row>
    <row r="303" spans="1:21" x14ac:dyDescent="0.25">
      <c r="A303">
        <v>2021</v>
      </c>
      <c r="B303" s="10" t="s">
        <v>5</v>
      </c>
      <c r="C303" s="11">
        <f t="shared" si="109"/>
        <v>205800</v>
      </c>
      <c r="D303" s="12">
        <v>300</v>
      </c>
      <c r="E303" s="12">
        <v>3000</v>
      </c>
      <c r="F303" s="12">
        <v>25000</v>
      </c>
      <c r="G303" s="12">
        <v>7000</v>
      </c>
      <c r="H303" s="12">
        <v>3500</v>
      </c>
      <c r="I303" s="12">
        <v>10000</v>
      </c>
      <c r="J303" s="12">
        <v>18000</v>
      </c>
      <c r="K303" s="12">
        <v>9000</v>
      </c>
      <c r="L303" s="12">
        <v>13000</v>
      </c>
      <c r="M303" s="12">
        <v>4000</v>
      </c>
      <c r="N303" s="12">
        <v>7000</v>
      </c>
      <c r="O303" s="12">
        <v>3000</v>
      </c>
      <c r="P303" s="12">
        <v>13000</v>
      </c>
      <c r="Q303" s="12">
        <v>13000</v>
      </c>
      <c r="R303" s="12">
        <v>9000</v>
      </c>
      <c r="S303">
        <v>23000</v>
      </c>
      <c r="T303">
        <v>38000</v>
      </c>
      <c r="U303">
        <v>7000</v>
      </c>
    </row>
    <row r="304" spans="1:21" x14ac:dyDescent="0.25">
      <c r="A304">
        <v>2021</v>
      </c>
      <c r="B304" s="10" t="s">
        <v>4</v>
      </c>
      <c r="C304" s="11">
        <f t="shared" si="109"/>
        <v>91375</v>
      </c>
      <c r="D304" s="12">
        <v>175</v>
      </c>
      <c r="E304" s="12">
        <v>450</v>
      </c>
      <c r="F304" s="12">
        <v>14000</v>
      </c>
      <c r="G304" s="12">
        <v>4500</v>
      </c>
      <c r="H304" s="12">
        <v>1500</v>
      </c>
      <c r="I304" s="12">
        <v>4000</v>
      </c>
      <c r="J304" s="12">
        <v>7000</v>
      </c>
      <c r="K304" s="12">
        <v>3000</v>
      </c>
      <c r="L304" s="12">
        <v>6000</v>
      </c>
      <c r="M304" s="12">
        <v>2250</v>
      </c>
      <c r="N304" s="12">
        <v>6000</v>
      </c>
      <c r="O304" s="12">
        <v>1500</v>
      </c>
      <c r="P304" s="12">
        <v>4500</v>
      </c>
      <c r="Q304" s="12">
        <v>11000</v>
      </c>
      <c r="R304" s="12">
        <v>3000</v>
      </c>
      <c r="S304">
        <v>8000</v>
      </c>
      <c r="T304">
        <v>10000</v>
      </c>
      <c r="U304">
        <v>4500</v>
      </c>
    </row>
    <row r="305" spans="1:21" x14ac:dyDescent="0.25">
      <c r="A305">
        <v>2021</v>
      </c>
      <c r="B305" s="10" t="s">
        <v>6</v>
      </c>
      <c r="C305" s="11">
        <f t="shared" si="109"/>
        <v>31125</v>
      </c>
      <c r="D305" s="12">
        <v>600</v>
      </c>
      <c r="E305" s="12">
        <v>175</v>
      </c>
      <c r="F305" s="12">
        <v>3000</v>
      </c>
      <c r="G305" s="12">
        <v>2000</v>
      </c>
      <c r="H305" s="12">
        <v>350</v>
      </c>
      <c r="I305" s="12">
        <v>1000</v>
      </c>
      <c r="J305" s="12">
        <v>2250</v>
      </c>
      <c r="K305" s="12">
        <v>800</v>
      </c>
      <c r="L305" s="12">
        <v>3500</v>
      </c>
      <c r="M305" s="12">
        <v>700</v>
      </c>
      <c r="N305" s="12">
        <v>2250</v>
      </c>
      <c r="O305" s="12">
        <v>400</v>
      </c>
      <c r="P305" s="12">
        <v>2000</v>
      </c>
      <c r="Q305" s="12">
        <v>6000</v>
      </c>
      <c r="R305" s="12">
        <v>600</v>
      </c>
      <c r="S305">
        <v>2250</v>
      </c>
      <c r="T305">
        <v>2000</v>
      </c>
      <c r="U305">
        <v>1250</v>
      </c>
    </row>
    <row r="306" spans="1:21" x14ac:dyDescent="0.25">
      <c r="A306">
        <v>2021</v>
      </c>
      <c r="B306" s="10" t="s">
        <v>7</v>
      </c>
      <c r="C306" s="11">
        <f t="shared" ref="C306:C350" si="113">SUM(D306:U306)</f>
        <v>127600</v>
      </c>
      <c r="D306" s="12">
        <v>350</v>
      </c>
      <c r="E306" s="12">
        <v>1250</v>
      </c>
      <c r="F306" s="12">
        <v>11000</v>
      </c>
      <c r="G306" s="12">
        <v>8000</v>
      </c>
      <c r="H306" s="12">
        <v>3500</v>
      </c>
      <c r="I306" s="12">
        <v>4000</v>
      </c>
      <c r="J306" s="12">
        <v>11000</v>
      </c>
      <c r="K306" s="12">
        <v>16000</v>
      </c>
      <c r="L306" s="12">
        <v>7000</v>
      </c>
      <c r="M306" s="12">
        <v>2000</v>
      </c>
      <c r="N306" s="12">
        <v>2250</v>
      </c>
      <c r="O306" s="12">
        <v>1250</v>
      </c>
      <c r="P306" s="12">
        <v>6000</v>
      </c>
      <c r="Q306" s="12">
        <v>10000</v>
      </c>
      <c r="R306" s="12">
        <v>6000</v>
      </c>
      <c r="S306">
        <v>11000</v>
      </c>
      <c r="T306">
        <v>22000</v>
      </c>
      <c r="U306">
        <v>5000</v>
      </c>
    </row>
    <row r="307" spans="1:21" x14ac:dyDescent="0.25">
      <c r="A307">
        <v>2021</v>
      </c>
      <c r="B307" s="10" t="s">
        <v>26</v>
      </c>
      <c r="C307" s="11">
        <f t="shared" si="113"/>
        <v>129300</v>
      </c>
      <c r="D307" s="12">
        <v>3500</v>
      </c>
      <c r="E307" s="12">
        <v>2000</v>
      </c>
      <c r="F307" s="12">
        <v>20000</v>
      </c>
      <c r="G307" s="12">
        <v>6000</v>
      </c>
      <c r="H307" s="12">
        <v>2500</v>
      </c>
      <c r="I307" s="12">
        <v>5000</v>
      </c>
      <c r="J307" s="12">
        <v>11000</v>
      </c>
      <c r="K307" s="12">
        <v>6000</v>
      </c>
      <c r="L307" s="12">
        <v>11000</v>
      </c>
      <c r="M307" s="12">
        <v>3000</v>
      </c>
      <c r="N307" s="12">
        <v>800</v>
      </c>
      <c r="O307" s="12">
        <v>1500</v>
      </c>
      <c r="P307" s="12">
        <v>8000</v>
      </c>
      <c r="Q307" s="12">
        <v>7000</v>
      </c>
      <c r="R307" s="12">
        <v>7000</v>
      </c>
      <c r="S307">
        <v>11000</v>
      </c>
      <c r="T307">
        <v>18000</v>
      </c>
      <c r="U307">
        <v>6000</v>
      </c>
    </row>
    <row r="308" spans="1:21" x14ac:dyDescent="0.25">
      <c r="A308">
        <v>2021</v>
      </c>
      <c r="B308" s="10" t="s">
        <v>8</v>
      </c>
      <c r="C308" s="11">
        <f t="shared" si="113"/>
        <v>36750</v>
      </c>
      <c r="D308" s="12">
        <v>1500</v>
      </c>
      <c r="E308" s="12">
        <v>500</v>
      </c>
      <c r="F308" s="12">
        <v>5000</v>
      </c>
      <c r="G308" s="12">
        <v>2500</v>
      </c>
      <c r="H308" s="12">
        <v>700</v>
      </c>
      <c r="I308" s="12">
        <v>1750</v>
      </c>
      <c r="J308" s="12">
        <v>3000</v>
      </c>
      <c r="K308" s="12">
        <v>1250</v>
      </c>
      <c r="L308" s="12">
        <v>4000</v>
      </c>
      <c r="M308" s="12">
        <v>700</v>
      </c>
      <c r="N308" s="12">
        <v>300</v>
      </c>
      <c r="O308" s="12">
        <v>800</v>
      </c>
      <c r="P308" s="12">
        <v>2000</v>
      </c>
      <c r="Q308" s="12">
        <v>1750</v>
      </c>
      <c r="R308" s="12">
        <v>2500</v>
      </c>
      <c r="S308">
        <v>2500</v>
      </c>
      <c r="T308">
        <v>4000</v>
      </c>
      <c r="U308">
        <v>2000</v>
      </c>
    </row>
    <row r="309" spans="1:21" x14ac:dyDescent="0.25">
      <c r="A309">
        <v>2021</v>
      </c>
      <c r="B309" s="10" t="s">
        <v>9</v>
      </c>
      <c r="C309" s="11">
        <f t="shared" si="113"/>
        <v>79450</v>
      </c>
      <c r="D309" s="12">
        <v>1500</v>
      </c>
      <c r="E309" s="12">
        <v>700</v>
      </c>
      <c r="F309" s="12">
        <v>5000</v>
      </c>
      <c r="G309" s="12">
        <v>3500</v>
      </c>
      <c r="H309" s="12">
        <v>1500</v>
      </c>
      <c r="I309" s="12">
        <v>4000</v>
      </c>
      <c r="J309" s="12">
        <v>7000</v>
      </c>
      <c r="K309" s="12">
        <v>2500</v>
      </c>
      <c r="L309" s="12">
        <v>9000</v>
      </c>
      <c r="M309" s="12">
        <v>2500</v>
      </c>
      <c r="N309" s="12">
        <v>2000</v>
      </c>
      <c r="O309" s="12">
        <v>1500</v>
      </c>
      <c r="P309" s="12">
        <v>8000</v>
      </c>
      <c r="Q309" s="12">
        <v>7000</v>
      </c>
      <c r="R309" s="12">
        <v>2250</v>
      </c>
      <c r="S309">
        <v>7000</v>
      </c>
      <c r="T309">
        <v>11000</v>
      </c>
      <c r="U309">
        <v>3500</v>
      </c>
    </row>
    <row r="310" spans="1:21" x14ac:dyDescent="0.25">
      <c r="A310">
        <v>2021</v>
      </c>
      <c r="B310" s="10" t="s">
        <v>10</v>
      </c>
      <c r="C310" s="11">
        <f t="shared" si="113"/>
        <v>122270</v>
      </c>
      <c r="D310" s="12">
        <v>20</v>
      </c>
      <c r="E310" s="12">
        <v>1000</v>
      </c>
      <c r="F310" s="12">
        <v>21000</v>
      </c>
      <c r="G310" s="12">
        <v>7000</v>
      </c>
      <c r="H310" s="12">
        <v>2000</v>
      </c>
      <c r="I310" s="12">
        <v>4500</v>
      </c>
      <c r="J310" s="12">
        <v>11000</v>
      </c>
      <c r="K310" s="12">
        <v>5000</v>
      </c>
      <c r="L310" s="12">
        <v>6000</v>
      </c>
      <c r="M310" s="12">
        <v>3000</v>
      </c>
      <c r="N310" s="12">
        <v>1250</v>
      </c>
      <c r="O310" s="12">
        <v>1500</v>
      </c>
      <c r="P310" s="12">
        <v>4500</v>
      </c>
      <c r="Q310" s="12">
        <v>13000</v>
      </c>
      <c r="R310" s="12">
        <v>6000</v>
      </c>
      <c r="S310">
        <v>12000</v>
      </c>
      <c r="T310">
        <v>19000</v>
      </c>
      <c r="U310">
        <v>4500</v>
      </c>
    </row>
    <row r="311" spans="1:21" x14ac:dyDescent="0.25">
      <c r="A311">
        <v>2021</v>
      </c>
      <c r="B311" s="10" t="s">
        <v>13</v>
      </c>
      <c r="C311" s="11">
        <f t="shared" si="113"/>
        <v>161350</v>
      </c>
      <c r="D311" s="12">
        <v>350</v>
      </c>
      <c r="E311" s="12">
        <v>1250</v>
      </c>
      <c r="F311" s="12">
        <v>30000</v>
      </c>
      <c r="G311" s="12">
        <v>8000</v>
      </c>
      <c r="H311" s="12">
        <v>3500</v>
      </c>
      <c r="I311" s="12">
        <v>8000</v>
      </c>
      <c r="J311" s="12">
        <v>15000</v>
      </c>
      <c r="K311" s="12">
        <v>8000</v>
      </c>
      <c r="L311" s="12">
        <v>10000</v>
      </c>
      <c r="M311" s="12">
        <v>3500</v>
      </c>
      <c r="N311" s="12">
        <v>1750</v>
      </c>
      <c r="O311" s="12">
        <v>3000</v>
      </c>
      <c r="P311" s="12">
        <v>8000</v>
      </c>
      <c r="Q311" s="12">
        <v>9000</v>
      </c>
      <c r="R311" s="12">
        <v>6000</v>
      </c>
      <c r="S311">
        <v>17000</v>
      </c>
      <c r="T311">
        <v>23000</v>
      </c>
      <c r="U311">
        <v>6000</v>
      </c>
    </row>
    <row r="312" spans="1:21" x14ac:dyDescent="0.25">
      <c r="A312">
        <v>2021</v>
      </c>
      <c r="B312" s="10" t="s">
        <v>14</v>
      </c>
      <c r="C312" s="11">
        <f t="shared" si="113"/>
        <v>468450</v>
      </c>
      <c r="D312" s="12">
        <v>450</v>
      </c>
      <c r="E312" s="12">
        <v>6000</v>
      </c>
      <c r="F312" s="12">
        <v>30000</v>
      </c>
      <c r="G312" s="12">
        <v>18000</v>
      </c>
      <c r="H312" s="12">
        <v>6000</v>
      </c>
      <c r="I312" s="12">
        <v>15000</v>
      </c>
      <c r="J312" s="12">
        <v>30000</v>
      </c>
      <c r="K312" s="12">
        <v>22000</v>
      </c>
      <c r="L312" s="12">
        <v>26000</v>
      </c>
      <c r="M312" s="12">
        <v>28000</v>
      </c>
      <c r="N312" s="12">
        <v>24000</v>
      </c>
      <c r="O312" s="12">
        <v>8000</v>
      </c>
      <c r="P312" s="12">
        <v>48000</v>
      </c>
      <c r="Q312" s="12">
        <v>56000</v>
      </c>
      <c r="R312" s="12">
        <v>19000</v>
      </c>
      <c r="S312">
        <v>45000</v>
      </c>
      <c r="T312">
        <v>66000</v>
      </c>
      <c r="U312">
        <v>21000</v>
      </c>
    </row>
    <row r="313" spans="1:21" x14ac:dyDescent="0.25">
      <c r="A313">
        <v>2021</v>
      </c>
      <c r="B313" s="10" t="s">
        <v>15</v>
      </c>
      <c r="C313" s="11">
        <f t="shared" si="113"/>
        <v>69400</v>
      </c>
      <c r="D313" s="12">
        <v>100</v>
      </c>
      <c r="E313" s="12">
        <v>700</v>
      </c>
      <c r="F313" s="12">
        <v>11000</v>
      </c>
      <c r="G313" s="12">
        <v>2500</v>
      </c>
      <c r="H313" s="12">
        <v>1750</v>
      </c>
      <c r="I313" s="12">
        <v>2000</v>
      </c>
      <c r="J313" s="12">
        <v>7000</v>
      </c>
      <c r="K313" s="12">
        <v>7000</v>
      </c>
      <c r="L313" s="12">
        <v>5000</v>
      </c>
      <c r="M313" s="12">
        <v>600</v>
      </c>
      <c r="N313" s="12">
        <v>600</v>
      </c>
      <c r="O313" s="12">
        <v>900</v>
      </c>
      <c r="P313" s="12">
        <v>3000</v>
      </c>
      <c r="Q313" s="12">
        <v>4500</v>
      </c>
      <c r="R313" s="12">
        <v>1250</v>
      </c>
      <c r="S313">
        <v>6000</v>
      </c>
      <c r="T313">
        <v>13000</v>
      </c>
      <c r="U313">
        <v>2500</v>
      </c>
    </row>
    <row r="314" spans="1:21" x14ac:dyDescent="0.25">
      <c r="A314">
        <v>2021</v>
      </c>
      <c r="B314" s="10" t="s">
        <v>16</v>
      </c>
      <c r="C314" s="11">
        <f t="shared" si="113"/>
        <v>76900</v>
      </c>
      <c r="D314" s="12">
        <v>700</v>
      </c>
      <c r="E314" s="12">
        <v>900</v>
      </c>
      <c r="F314" s="12">
        <v>19000</v>
      </c>
      <c r="G314" s="12">
        <v>6000</v>
      </c>
      <c r="H314" s="12">
        <v>1750</v>
      </c>
      <c r="I314" s="12">
        <v>2000</v>
      </c>
      <c r="J314" s="12">
        <v>6000</v>
      </c>
      <c r="K314" s="12">
        <v>7000</v>
      </c>
      <c r="L314" s="12">
        <v>4000</v>
      </c>
      <c r="M314" s="12">
        <v>600</v>
      </c>
      <c r="N314" s="12">
        <v>400</v>
      </c>
      <c r="O314" s="12">
        <v>800</v>
      </c>
      <c r="P314" s="12">
        <v>2250</v>
      </c>
      <c r="Q314" s="12">
        <v>4500</v>
      </c>
      <c r="R314" s="12">
        <v>2500</v>
      </c>
      <c r="S314">
        <v>6000</v>
      </c>
      <c r="T314">
        <v>10000</v>
      </c>
      <c r="U314">
        <v>2500</v>
      </c>
    </row>
    <row r="315" spans="1:21" x14ac:dyDescent="0.25">
      <c r="A315">
        <v>2021</v>
      </c>
      <c r="B315" s="10" t="s">
        <v>24</v>
      </c>
      <c r="C315" s="11">
        <f t="shared" si="113"/>
        <v>17350</v>
      </c>
      <c r="D315" s="12">
        <v>800</v>
      </c>
      <c r="E315" s="12">
        <v>100</v>
      </c>
      <c r="F315" s="12">
        <v>1000</v>
      </c>
      <c r="G315" s="12">
        <v>1000</v>
      </c>
      <c r="H315" s="12">
        <v>450</v>
      </c>
      <c r="I315" s="12">
        <v>600</v>
      </c>
      <c r="J315" s="12">
        <v>1500</v>
      </c>
      <c r="K315" s="12">
        <v>700</v>
      </c>
      <c r="L315" s="12">
        <v>3000</v>
      </c>
      <c r="M315" s="12">
        <v>300</v>
      </c>
      <c r="N315" s="12">
        <v>100</v>
      </c>
      <c r="O315" s="12">
        <v>400</v>
      </c>
      <c r="P315" s="12">
        <v>1250</v>
      </c>
      <c r="Q315" s="12">
        <v>1250</v>
      </c>
      <c r="R315" s="12">
        <v>1250</v>
      </c>
      <c r="S315">
        <v>1500</v>
      </c>
      <c r="T315">
        <v>900</v>
      </c>
      <c r="U315">
        <v>1250</v>
      </c>
    </row>
    <row r="316" spans="1:21" x14ac:dyDescent="0.25">
      <c r="A316">
        <v>2021</v>
      </c>
      <c r="B316" s="10" t="s">
        <v>17</v>
      </c>
      <c r="C316" s="11">
        <f t="shared" si="113"/>
        <v>101875</v>
      </c>
      <c r="D316" s="12">
        <v>175</v>
      </c>
      <c r="E316" s="12">
        <v>1250</v>
      </c>
      <c r="F316" s="12">
        <v>15000</v>
      </c>
      <c r="G316" s="12">
        <v>6000</v>
      </c>
      <c r="H316" s="12">
        <v>2250</v>
      </c>
      <c r="I316" s="12">
        <v>3500</v>
      </c>
      <c r="J316" s="12">
        <v>9000</v>
      </c>
      <c r="K316" s="12">
        <v>7000</v>
      </c>
      <c r="L316" s="12">
        <v>7000</v>
      </c>
      <c r="M316" s="12">
        <v>2500</v>
      </c>
      <c r="N316" s="12">
        <v>1500</v>
      </c>
      <c r="O316" s="12">
        <v>700</v>
      </c>
      <c r="P316" s="12">
        <v>3500</v>
      </c>
      <c r="Q316" s="12">
        <v>9000</v>
      </c>
      <c r="R316" s="12">
        <v>6000</v>
      </c>
      <c r="S316">
        <v>9000</v>
      </c>
      <c r="T316">
        <v>15000</v>
      </c>
      <c r="U316">
        <v>3500</v>
      </c>
    </row>
    <row r="317" spans="1:21" x14ac:dyDescent="0.25">
      <c r="A317">
        <v>2021</v>
      </c>
      <c r="B317" s="10" t="s">
        <v>18</v>
      </c>
      <c r="C317" s="11">
        <f t="shared" si="113"/>
        <v>25950</v>
      </c>
      <c r="D317" s="12">
        <v>1250</v>
      </c>
      <c r="E317" s="12">
        <v>100</v>
      </c>
      <c r="F317" s="12">
        <v>6000</v>
      </c>
      <c r="G317" s="12">
        <v>1250</v>
      </c>
      <c r="H317" s="12">
        <v>450</v>
      </c>
      <c r="I317" s="12">
        <v>700</v>
      </c>
      <c r="J317" s="12">
        <v>1500</v>
      </c>
      <c r="K317" s="12">
        <v>700</v>
      </c>
      <c r="L317" s="12">
        <v>3000</v>
      </c>
      <c r="M317" s="12">
        <v>300</v>
      </c>
      <c r="N317" s="12">
        <v>150</v>
      </c>
      <c r="O317" s="12">
        <v>350</v>
      </c>
      <c r="P317" s="12">
        <v>2000</v>
      </c>
      <c r="Q317" s="12">
        <v>1750</v>
      </c>
      <c r="R317" s="12">
        <v>700</v>
      </c>
      <c r="S317">
        <v>2000</v>
      </c>
      <c r="T317">
        <v>1750</v>
      </c>
      <c r="U317">
        <v>2000</v>
      </c>
    </row>
    <row r="318" spans="1:21" x14ac:dyDescent="0.25">
      <c r="A318">
        <v>2021</v>
      </c>
      <c r="B318" s="10" t="s">
        <v>19</v>
      </c>
      <c r="C318" s="11">
        <f t="shared" si="113"/>
        <v>45000</v>
      </c>
      <c r="D318" s="12">
        <v>600</v>
      </c>
      <c r="E318" s="12">
        <v>700</v>
      </c>
      <c r="F318" s="12">
        <v>5000</v>
      </c>
      <c r="G318" s="12">
        <v>1500</v>
      </c>
      <c r="H318" s="12">
        <v>500</v>
      </c>
      <c r="I318" s="12">
        <v>800</v>
      </c>
      <c r="J318" s="12">
        <v>4500</v>
      </c>
      <c r="K318" s="12">
        <v>1250</v>
      </c>
      <c r="L318" s="12">
        <v>8000</v>
      </c>
      <c r="M318" s="12">
        <v>400</v>
      </c>
      <c r="N318" s="12">
        <v>250</v>
      </c>
      <c r="O318" s="12">
        <v>1000</v>
      </c>
      <c r="P318" s="12">
        <v>1250</v>
      </c>
      <c r="Q318" s="12">
        <v>3500</v>
      </c>
      <c r="R318" s="12">
        <v>2250</v>
      </c>
      <c r="S318">
        <v>3500</v>
      </c>
      <c r="T318">
        <v>8000</v>
      </c>
      <c r="U318">
        <v>2000</v>
      </c>
    </row>
    <row r="319" spans="1:21" x14ac:dyDescent="0.25">
      <c r="A319">
        <v>2021</v>
      </c>
      <c r="B319" s="10" t="s">
        <v>20</v>
      </c>
      <c r="C319" s="11">
        <f t="shared" si="113"/>
        <v>35900</v>
      </c>
      <c r="D319" s="12">
        <v>900</v>
      </c>
      <c r="E319" s="12">
        <v>1250</v>
      </c>
      <c r="F319" s="12">
        <v>8000</v>
      </c>
      <c r="G319" s="12">
        <v>2000</v>
      </c>
      <c r="H319" s="12">
        <v>600</v>
      </c>
      <c r="I319" s="12">
        <v>900</v>
      </c>
      <c r="J319" s="12">
        <v>2000</v>
      </c>
      <c r="K319" s="12">
        <v>3500</v>
      </c>
      <c r="L319" s="12">
        <v>2250</v>
      </c>
      <c r="M319" s="12">
        <v>600</v>
      </c>
      <c r="N319" s="12">
        <v>150</v>
      </c>
      <c r="O319" s="12">
        <v>350</v>
      </c>
      <c r="P319" s="12">
        <v>2500</v>
      </c>
      <c r="Q319" s="12">
        <v>3500</v>
      </c>
      <c r="R319" s="12">
        <v>900</v>
      </c>
      <c r="S319">
        <v>3000</v>
      </c>
      <c r="T319">
        <v>2500</v>
      </c>
      <c r="U319">
        <v>1000</v>
      </c>
    </row>
    <row r="320" spans="1:21" x14ac:dyDescent="0.25">
      <c r="A320">
        <v>2021</v>
      </c>
      <c r="B320" s="10" t="s">
        <v>21</v>
      </c>
      <c r="C320" s="11">
        <f t="shared" si="113"/>
        <v>261225</v>
      </c>
      <c r="D320" s="12">
        <v>225</v>
      </c>
      <c r="E320" s="12">
        <v>1500</v>
      </c>
      <c r="F320" s="12">
        <v>21000</v>
      </c>
      <c r="G320" s="12">
        <v>8000</v>
      </c>
      <c r="H320" s="12">
        <v>4000</v>
      </c>
      <c r="I320" s="12">
        <v>8000</v>
      </c>
      <c r="J320" s="12">
        <v>22000</v>
      </c>
      <c r="K320" s="12">
        <v>10000</v>
      </c>
      <c r="L320" s="12">
        <v>17000</v>
      </c>
      <c r="M320" s="12">
        <v>12000</v>
      </c>
      <c r="N320" s="12">
        <v>9000</v>
      </c>
      <c r="O320" s="12">
        <v>3500</v>
      </c>
      <c r="P320" s="12">
        <v>19000</v>
      </c>
      <c r="Q320" s="12">
        <v>23000</v>
      </c>
      <c r="R320" s="12">
        <v>17000</v>
      </c>
      <c r="S320">
        <v>34000</v>
      </c>
      <c r="T320">
        <v>42000</v>
      </c>
      <c r="U320">
        <v>10000</v>
      </c>
    </row>
    <row r="321" spans="1:48" x14ac:dyDescent="0.25">
      <c r="A321">
        <v>2021</v>
      </c>
      <c r="B321" s="10" t="s">
        <v>22</v>
      </c>
      <c r="C321" s="11">
        <f t="shared" si="113"/>
        <v>156300</v>
      </c>
      <c r="D321" s="12">
        <v>300</v>
      </c>
      <c r="E321" s="12">
        <v>2000</v>
      </c>
      <c r="F321" s="12">
        <v>19000</v>
      </c>
      <c r="G321" s="12">
        <v>7000</v>
      </c>
      <c r="H321" s="12">
        <v>3500</v>
      </c>
      <c r="I321" s="12">
        <v>9000</v>
      </c>
      <c r="J321" s="12">
        <v>11000</v>
      </c>
      <c r="K321" s="12">
        <v>16000</v>
      </c>
      <c r="L321" s="12">
        <v>9000</v>
      </c>
      <c r="M321" s="12">
        <v>3000</v>
      </c>
      <c r="N321" s="12">
        <v>1500</v>
      </c>
      <c r="O321" s="12">
        <v>3000</v>
      </c>
      <c r="P321" s="12">
        <v>7000</v>
      </c>
      <c r="Q321" s="12">
        <v>14000</v>
      </c>
      <c r="R321" s="12">
        <v>10000</v>
      </c>
      <c r="S321">
        <v>12000</v>
      </c>
      <c r="T321">
        <v>24000</v>
      </c>
      <c r="U321">
        <v>5000</v>
      </c>
    </row>
    <row r="322" spans="1:48" x14ac:dyDescent="0.25">
      <c r="A322">
        <v>2021</v>
      </c>
      <c r="B322" s="10" t="s">
        <v>23</v>
      </c>
      <c r="C322" s="11">
        <f t="shared" si="113"/>
        <v>108075</v>
      </c>
      <c r="D322" s="12">
        <v>225</v>
      </c>
      <c r="E322" s="12">
        <v>350</v>
      </c>
      <c r="F322" s="12">
        <v>4000</v>
      </c>
      <c r="G322" s="12">
        <v>3500</v>
      </c>
      <c r="H322" s="12">
        <v>1500</v>
      </c>
      <c r="I322" s="12">
        <v>1750</v>
      </c>
      <c r="J322" s="12">
        <v>12000</v>
      </c>
      <c r="K322" s="12">
        <v>5000</v>
      </c>
      <c r="L322" s="12">
        <v>12000</v>
      </c>
      <c r="M322" s="12">
        <v>4000</v>
      </c>
      <c r="N322" s="12">
        <v>4000</v>
      </c>
      <c r="O322" s="12">
        <v>1750</v>
      </c>
      <c r="P322" s="12">
        <v>8000</v>
      </c>
      <c r="Q322" s="12">
        <v>9000</v>
      </c>
      <c r="R322" s="12">
        <v>7000</v>
      </c>
      <c r="S322">
        <v>12000</v>
      </c>
      <c r="T322">
        <v>17000</v>
      </c>
      <c r="U322">
        <v>5000</v>
      </c>
    </row>
    <row r="323" spans="1:48" x14ac:dyDescent="0.25">
      <c r="A323">
        <v>2021</v>
      </c>
      <c r="B323" s="10" t="s">
        <v>27</v>
      </c>
      <c r="C323" s="11">
        <f t="shared" si="113"/>
        <v>273000</v>
      </c>
      <c r="D323" s="12">
        <v>7000</v>
      </c>
      <c r="E323" s="12">
        <v>3500</v>
      </c>
      <c r="F323" s="12">
        <v>34000</v>
      </c>
      <c r="G323" s="12">
        <v>14000</v>
      </c>
      <c r="H323" s="12">
        <v>4500</v>
      </c>
      <c r="I323" s="12">
        <v>10000</v>
      </c>
      <c r="J323" s="12">
        <v>22000</v>
      </c>
      <c r="K323" s="12">
        <v>11000</v>
      </c>
      <c r="L323" s="12">
        <v>34000</v>
      </c>
      <c r="M323" s="12">
        <v>6000</v>
      </c>
      <c r="N323" s="12">
        <v>5000</v>
      </c>
      <c r="O323" s="12">
        <v>5000</v>
      </c>
      <c r="P323" s="12">
        <v>18000</v>
      </c>
      <c r="Q323" s="12">
        <v>25000</v>
      </c>
      <c r="R323" s="12">
        <v>10000</v>
      </c>
      <c r="S323">
        <v>22000</v>
      </c>
      <c r="T323">
        <v>29000</v>
      </c>
      <c r="U323">
        <v>13000</v>
      </c>
    </row>
    <row r="324" spans="1:48" x14ac:dyDescent="0.25">
      <c r="A324">
        <v>2021</v>
      </c>
      <c r="B324" s="10" t="s">
        <v>11</v>
      </c>
      <c r="C324" s="11">
        <f t="shared" si="113"/>
        <v>576500</v>
      </c>
      <c r="D324" s="12">
        <v>1000</v>
      </c>
      <c r="E324" s="12">
        <v>4500</v>
      </c>
      <c r="F324" s="12">
        <v>60000</v>
      </c>
      <c r="G324" s="12">
        <v>27000</v>
      </c>
      <c r="H324" s="12">
        <v>11000</v>
      </c>
      <c r="I324" s="12">
        <v>18000</v>
      </c>
      <c r="J324" s="12">
        <v>49000</v>
      </c>
      <c r="K324" s="12">
        <v>39000</v>
      </c>
      <c r="L324" s="12">
        <v>37000</v>
      </c>
      <c r="M324" s="12">
        <v>18000</v>
      </c>
      <c r="N324" s="12">
        <v>14000</v>
      </c>
      <c r="O324" s="12">
        <v>7000</v>
      </c>
      <c r="P324" s="12">
        <v>32000</v>
      </c>
      <c r="Q324" s="12">
        <v>49000</v>
      </c>
      <c r="R324" s="12">
        <v>32000</v>
      </c>
      <c r="S324">
        <v>63000</v>
      </c>
      <c r="T324">
        <v>93000</v>
      </c>
      <c r="U324">
        <v>22000</v>
      </c>
    </row>
    <row r="325" spans="1:48" x14ac:dyDescent="0.25">
      <c r="A325">
        <v>2021</v>
      </c>
      <c r="B325" s="10" t="s">
        <v>12</v>
      </c>
      <c r="C325" s="11">
        <f t="shared" si="113"/>
        <v>1084500</v>
      </c>
      <c r="D325" s="12">
        <v>1500</v>
      </c>
      <c r="E325" s="12">
        <v>13000</v>
      </c>
      <c r="F325" s="12">
        <v>117000</v>
      </c>
      <c r="G325" s="12">
        <v>45000</v>
      </c>
      <c r="H325" s="12">
        <v>18000</v>
      </c>
      <c r="I325" s="12">
        <v>46000</v>
      </c>
      <c r="J325" s="12">
        <v>81000</v>
      </c>
      <c r="K325" s="12">
        <v>58000</v>
      </c>
      <c r="L325" s="12">
        <v>65000</v>
      </c>
      <c r="M325" s="12">
        <v>40000</v>
      </c>
      <c r="N325" s="12">
        <v>40000</v>
      </c>
      <c r="O325" s="12">
        <v>19000</v>
      </c>
      <c r="P325" s="12">
        <v>80000</v>
      </c>
      <c r="Q325" s="12">
        <v>104000</v>
      </c>
      <c r="R325" s="12">
        <v>47000</v>
      </c>
      <c r="S325">
        <v>105000</v>
      </c>
      <c r="T325">
        <v>161000</v>
      </c>
      <c r="U325">
        <v>44000</v>
      </c>
    </row>
    <row r="326" spans="1:48" x14ac:dyDescent="0.25">
      <c r="A326">
        <v>2021</v>
      </c>
      <c r="B326" s="10" t="s">
        <v>25</v>
      </c>
      <c r="C326" s="11">
        <f t="shared" si="113"/>
        <v>2436295</v>
      </c>
      <c r="D326" s="5">
        <f>SUM(D302:D322)</f>
        <v>14220</v>
      </c>
      <c r="E326" s="5">
        <f t="shared" ref="E326:U326" si="114">SUM(E302:E322)</f>
        <v>25675</v>
      </c>
      <c r="F326" s="5">
        <f t="shared" si="114"/>
        <v>285000</v>
      </c>
      <c r="G326" s="5">
        <f t="shared" si="114"/>
        <v>110250</v>
      </c>
      <c r="H326" s="5">
        <f t="shared" si="114"/>
        <v>43300</v>
      </c>
      <c r="I326" s="5">
        <f t="shared" si="114"/>
        <v>89000</v>
      </c>
      <c r="J326" s="5">
        <f t="shared" si="114"/>
        <v>199750</v>
      </c>
      <c r="K326" s="5">
        <f t="shared" si="114"/>
        <v>138700</v>
      </c>
      <c r="L326" s="5">
        <f t="shared" si="114"/>
        <v>171750</v>
      </c>
      <c r="M326" s="5">
        <f t="shared" si="114"/>
        <v>75200</v>
      </c>
      <c r="N326" s="5">
        <f t="shared" si="114"/>
        <v>66150</v>
      </c>
      <c r="O326" s="5">
        <f t="shared" si="114"/>
        <v>36700</v>
      </c>
      <c r="P326" s="5">
        <f t="shared" si="114"/>
        <v>157250</v>
      </c>
      <c r="Q326" s="5">
        <f t="shared" si="114"/>
        <v>214750</v>
      </c>
      <c r="R326" s="5">
        <f t="shared" si="114"/>
        <v>113200</v>
      </c>
      <c r="S326" s="5">
        <f t="shared" si="114"/>
        <v>235750</v>
      </c>
      <c r="T326" s="5">
        <f t="shared" si="114"/>
        <v>361150</v>
      </c>
      <c r="U326" s="5">
        <f t="shared" si="114"/>
        <v>98500</v>
      </c>
    </row>
    <row r="327" spans="1:48" x14ac:dyDescent="0.25">
      <c r="A327">
        <v>2022</v>
      </c>
      <c r="B327" s="10" t="s">
        <v>3</v>
      </c>
      <c r="C327" s="11">
        <f t="shared" si="113"/>
        <v>84550</v>
      </c>
      <c r="D327" s="12">
        <v>200</v>
      </c>
      <c r="E327" s="12">
        <v>600</v>
      </c>
      <c r="F327" s="12">
        <v>13000</v>
      </c>
      <c r="G327" s="12">
        <v>5000</v>
      </c>
      <c r="H327" s="12">
        <v>2000</v>
      </c>
      <c r="I327" s="12">
        <v>3000</v>
      </c>
      <c r="J327" s="12">
        <v>9000</v>
      </c>
      <c r="K327" s="12">
        <v>7000</v>
      </c>
      <c r="L327" s="12">
        <v>5000</v>
      </c>
      <c r="M327" s="12">
        <v>1250</v>
      </c>
      <c r="N327" s="12">
        <v>1000</v>
      </c>
      <c r="O327" s="12">
        <v>1500</v>
      </c>
      <c r="P327" s="12">
        <v>3500</v>
      </c>
      <c r="Q327" s="12">
        <v>6000</v>
      </c>
      <c r="R327" s="12">
        <v>3000</v>
      </c>
      <c r="S327">
        <v>7000</v>
      </c>
      <c r="T327">
        <v>14000</v>
      </c>
      <c r="U327">
        <v>2500</v>
      </c>
      <c r="AO327" s="13"/>
      <c r="AP327" s="13"/>
      <c r="AQ327" s="13"/>
      <c r="AR327" s="13"/>
      <c r="AS327" s="13"/>
      <c r="AT327" s="13"/>
      <c r="AU327" s="13"/>
      <c r="AV327" s="13"/>
    </row>
    <row r="328" spans="1:48" x14ac:dyDescent="0.25">
      <c r="A328">
        <v>2022</v>
      </c>
      <c r="B328" s="10" t="s">
        <v>5</v>
      </c>
      <c r="C328" s="11">
        <f t="shared" si="113"/>
        <v>205800</v>
      </c>
      <c r="D328" s="12">
        <v>300</v>
      </c>
      <c r="E328" s="12">
        <v>2500</v>
      </c>
      <c r="F328" s="12">
        <v>24000</v>
      </c>
      <c r="G328" s="12">
        <v>8000</v>
      </c>
      <c r="H328" s="12">
        <v>4500</v>
      </c>
      <c r="I328" s="12">
        <v>11000</v>
      </c>
      <c r="J328" s="12">
        <v>22000</v>
      </c>
      <c r="K328" s="12">
        <v>9000</v>
      </c>
      <c r="L328" s="12">
        <v>13000</v>
      </c>
      <c r="M328" s="12">
        <v>3500</v>
      </c>
      <c r="N328" s="12">
        <v>6000</v>
      </c>
      <c r="O328" s="12">
        <v>3000</v>
      </c>
      <c r="P328" s="12">
        <v>12000</v>
      </c>
      <c r="Q328" s="12">
        <v>13000</v>
      </c>
      <c r="R328" s="12">
        <v>8000</v>
      </c>
      <c r="S328">
        <v>22000</v>
      </c>
      <c r="T328">
        <v>38000</v>
      </c>
      <c r="U328">
        <v>6000</v>
      </c>
      <c r="AO328" s="13"/>
      <c r="AP328" s="13"/>
      <c r="AQ328" s="13"/>
      <c r="AR328" s="13"/>
      <c r="AS328" s="13"/>
      <c r="AT328" s="13"/>
      <c r="AU328" s="13"/>
      <c r="AV328" s="13"/>
    </row>
    <row r="329" spans="1:48" x14ac:dyDescent="0.25">
      <c r="A329">
        <v>2022</v>
      </c>
      <c r="B329" s="10" t="s">
        <v>4</v>
      </c>
      <c r="C329" s="11">
        <f t="shared" si="113"/>
        <v>89525</v>
      </c>
      <c r="D329" s="12">
        <v>175</v>
      </c>
      <c r="E329" s="12">
        <v>600</v>
      </c>
      <c r="F329" s="12">
        <v>12000</v>
      </c>
      <c r="G329" s="12">
        <v>4500</v>
      </c>
      <c r="H329" s="12">
        <v>1500</v>
      </c>
      <c r="I329" s="12">
        <v>5000</v>
      </c>
      <c r="J329" s="12">
        <v>7000</v>
      </c>
      <c r="K329" s="12">
        <v>3000</v>
      </c>
      <c r="L329" s="12">
        <v>6000</v>
      </c>
      <c r="M329" s="12">
        <v>1500</v>
      </c>
      <c r="N329" s="12">
        <v>7000</v>
      </c>
      <c r="O329" s="12">
        <v>1250</v>
      </c>
      <c r="P329" s="12">
        <v>4500</v>
      </c>
      <c r="Q329" s="12">
        <v>10000</v>
      </c>
      <c r="R329" s="12">
        <v>3000</v>
      </c>
      <c r="S329">
        <v>8000</v>
      </c>
      <c r="T329">
        <v>11000</v>
      </c>
      <c r="U329">
        <v>3500</v>
      </c>
      <c r="AO329" s="13"/>
      <c r="AP329" s="13"/>
      <c r="AQ329" s="13"/>
      <c r="AR329" s="13"/>
      <c r="AS329" s="13"/>
      <c r="AT329" s="13"/>
      <c r="AU329" s="13"/>
      <c r="AV329" s="13"/>
    </row>
    <row r="330" spans="1:48" x14ac:dyDescent="0.25">
      <c r="A330">
        <v>2022</v>
      </c>
      <c r="B330" s="10" t="s">
        <v>6</v>
      </c>
      <c r="C330" s="11">
        <f t="shared" si="113"/>
        <v>30925</v>
      </c>
      <c r="D330" s="12">
        <v>600</v>
      </c>
      <c r="E330" s="12">
        <v>175</v>
      </c>
      <c r="F330" s="12">
        <v>3500</v>
      </c>
      <c r="G330" s="12">
        <v>1500</v>
      </c>
      <c r="H330" s="12">
        <v>450</v>
      </c>
      <c r="I330" s="12">
        <v>1250</v>
      </c>
      <c r="J330" s="12">
        <v>2500</v>
      </c>
      <c r="K330" s="12">
        <v>800</v>
      </c>
      <c r="L330" s="12">
        <v>3500</v>
      </c>
      <c r="M330" s="12">
        <v>500</v>
      </c>
      <c r="N330" s="12">
        <v>2250</v>
      </c>
      <c r="O330" s="12">
        <v>300</v>
      </c>
      <c r="P330" s="12">
        <v>1500</v>
      </c>
      <c r="Q330" s="12">
        <v>6000</v>
      </c>
      <c r="R330" s="12">
        <v>600</v>
      </c>
      <c r="S330">
        <v>2250</v>
      </c>
      <c r="T330">
        <v>2250</v>
      </c>
      <c r="U330">
        <v>1000</v>
      </c>
      <c r="AO330" s="13"/>
      <c r="AP330" s="13"/>
      <c r="AQ330" s="13"/>
      <c r="AR330" s="13"/>
      <c r="AS330" s="13"/>
      <c r="AT330" s="13"/>
      <c r="AU330" s="13"/>
      <c r="AV330" s="13"/>
    </row>
    <row r="331" spans="1:48" x14ac:dyDescent="0.25">
      <c r="A331">
        <v>2022</v>
      </c>
      <c r="B331" s="10" t="s">
        <v>7</v>
      </c>
      <c r="C331" s="11">
        <f t="shared" si="113"/>
        <v>133350</v>
      </c>
      <c r="D331" s="12">
        <v>350</v>
      </c>
      <c r="E331" s="12">
        <v>1750</v>
      </c>
      <c r="F331" s="12">
        <v>11000</v>
      </c>
      <c r="G331" s="12">
        <v>8000</v>
      </c>
      <c r="H331" s="12">
        <v>4000</v>
      </c>
      <c r="I331" s="12">
        <v>4500</v>
      </c>
      <c r="J331" s="12">
        <v>13000</v>
      </c>
      <c r="K331" s="12">
        <v>18000</v>
      </c>
      <c r="L331" s="12">
        <v>8000</v>
      </c>
      <c r="M331" s="12">
        <v>2500</v>
      </c>
      <c r="N331" s="12">
        <v>2500</v>
      </c>
      <c r="O331" s="12">
        <v>1250</v>
      </c>
      <c r="P331" s="12">
        <v>6000</v>
      </c>
      <c r="Q331" s="12">
        <v>10000</v>
      </c>
      <c r="R331" s="12">
        <v>7000</v>
      </c>
      <c r="S331">
        <v>10000</v>
      </c>
      <c r="T331">
        <v>21000</v>
      </c>
      <c r="U331">
        <v>4500</v>
      </c>
      <c r="AO331" s="13"/>
      <c r="AP331" s="13"/>
      <c r="AQ331" s="13"/>
      <c r="AR331" s="13"/>
      <c r="AS331" s="13"/>
      <c r="AT331" s="13"/>
      <c r="AU331" s="13"/>
      <c r="AV331" s="13"/>
    </row>
    <row r="332" spans="1:48" x14ac:dyDescent="0.25">
      <c r="A332">
        <v>2022</v>
      </c>
      <c r="B332" s="10" t="s">
        <v>26</v>
      </c>
      <c r="C332" s="11">
        <f t="shared" si="113"/>
        <v>130250</v>
      </c>
      <c r="D332" s="12">
        <v>3500</v>
      </c>
      <c r="E332" s="12">
        <v>2500</v>
      </c>
      <c r="F332" s="12">
        <v>21000</v>
      </c>
      <c r="G332" s="12">
        <v>6000</v>
      </c>
      <c r="H332" s="12">
        <v>3000</v>
      </c>
      <c r="I332" s="12">
        <v>5000</v>
      </c>
      <c r="J332" s="12">
        <v>12000</v>
      </c>
      <c r="K332" s="12">
        <v>6000</v>
      </c>
      <c r="L332" s="12">
        <v>11000</v>
      </c>
      <c r="M332" s="12">
        <v>3000</v>
      </c>
      <c r="N332" s="12">
        <v>1250</v>
      </c>
      <c r="O332" s="12">
        <v>1500</v>
      </c>
      <c r="P332" s="12">
        <v>8000</v>
      </c>
      <c r="Q332" s="12">
        <v>6000</v>
      </c>
      <c r="R332" s="12">
        <v>8000</v>
      </c>
      <c r="S332">
        <v>11000</v>
      </c>
      <c r="T332">
        <v>17000</v>
      </c>
      <c r="U332">
        <v>4500</v>
      </c>
      <c r="AO332" s="13"/>
      <c r="AP332" s="13"/>
      <c r="AQ332" s="13"/>
      <c r="AR332" s="13"/>
      <c r="AS332" s="13"/>
      <c r="AT332" s="13"/>
      <c r="AU332" s="13"/>
      <c r="AV332" s="13"/>
    </row>
    <row r="333" spans="1:48" x14ac:dyDescent="0.25">
      <c r="A333">
        <v>2022</v>
      </c>
      <c r="B333" s="10" t="s">
        <v>8</v>
      </c>
      <c r="C333" s="11">
        <f t="shared" si="113"/>
        <v>40750</v>
      </c>
      <c r="D333" s="12">
        <v>1250</v>
      </c>
      <c r="E333" s="12">
        <v>500</v>
      </c>
      <c r="F333" s="12">
        <v>6000</v>
      </c>
      <c r="G333" s="12">
        <v>2250</v>
      </c>
      <c r="H333" s="12">
        <v>800</v>
      </c>
      <c r="I333" s="12">
        <v>2000</v>
      </c>
      <c r="J333" s="12">
        <v>4000</v>
      </c>
      <c r="K333" s="12">
        <v>1250</v>
      </c>
      <c r="L333" s="12">
        <v>4000</v>
      </c>
      <c r="M333" s="12">
        <v>600</v>
      </c>
      <c r="N333" s="12">
        <v>400</v>
      </c>
      <c r="O333" s="12">
        <v>700</v>
      </c>
      <c r="P333" s="12">
        <v>2250</v>
      </c>
      <c r="Q333" s="12">
        <v>2000</v>
      </c>
      <c r="R333" s="12">
        <v>4500</v>
      </c>
      <c r="S333">
        <v>2250</v>
      </c>
      <c r="T333">
        <v>4500</v>
      </c>
      <c r="U333">
        <v>1500</v>
      </c>
      <c r="AO333" s="13"/>
      <c r="AP333" s="13"/>
      <c r="AQ333" s="13"/>
      <c r="AR333" s="13"/>
      <c r="AS333" s="13"/>
      <c r="AT333" s="13"/>
      <c r="AU333" s="13"/>
      <c r="AV333" s="13"/>
    </row>
    <row r="334" spans="1:48" x14ac:dyDescent="0.25">
      <c r="A334">
        <v>2022</v>
      </c>
      <c r="B334" s="10" t="s">
        <v>9</v>
      </c>
      <c r="C334" s="11">
        <f t="shared" si="113"/>
        <v>77100</v>
      </c>
      <c r="D334" s="12">
        <v>1500</v>
      </c>
      <c r="E334" s="12">
        <v>600</v>
      </c>
      <c r="F334" s="12">
        <v>5000</v>
      </c>
      <c r="G334" s="12">
        <v>3000</v>
      </c>
      <c r="H334" s="12">
        <v>1500</v>
      </c>
      <c r="I334" s="12">
        <v>4500</v>
      </c>
      <c r="J334" s="12">
        <v>8000</v>
      </c>
      <c r="K334" s="12">
        <v>2500</v>
      </c>
      <c r="L334" s="12">
        <v>9000</v>
      </c>
      <c r="M334" s="12">
        <v>2500</v>
      </c>
      <c r="N334" s="12">
        <v>2500</v>
      </c>
      <c r="O334" s="12">
        <v>1500</v>
      </c>
      <c r="P334" s="12">
        <v>8000</v>
      </c>
      <c r="Q334" s="12">
        <v>5000</v>
      </c>
      <c r="R334" s="12">
        <v>2000</v>
      </c>
      <c r="S334">
        <v>6000</v>
      </c>
      <c r="T334">
        <v>11000</v>
      </c>
      <c r="U334">
        <v>3000</v>
      </c>
      <c r="AO334" s="13"/>
      <c r="AP334" s="13"/>
      <c r="AQ334" s="13"/>
      <c r="AR334" s="13"/>
      <c r="AS334" s="13"/>
      <c r="AT334" s="13"/>
      <c r="AU334" s="13"/>
      <c r="AV334" s="13"/>
    </row>
    <row r="335" spans="1:48" x14ac:dyDescent="0.25">
      <c r="A335">
        <v>2022</v>
      </c>
      <c r="B335" s="10" t="s">
        <v>10</v>
      </c>
      <c r="C335" s="11">
        <f t="shared" si="113"/>
        <v>126520</v>
      </c>
      <c r="D335" s="12">
        <v>20</v>
      </c>
      <c r="E335" s="12">
        <v>1250</v>
      </c>
      <c r="F335" s="12">
        <v>22000</v>
      </c>
      <c r="G335" s="12">
        <v>7000</v>
      </c>
      <c r="H335" s="12">
        <v>2250</v>
      </c>
      <c r="I335" s="12">
        <v>5000</v>
      </c>
      <c r="J335" s="12">
        <v>12000</v>
      </c>
      <c r="K335" s="12">
        <v>5000</v>
      </c>
      <c r="L335" s="12">
        <v>7000</v>
      </c>
      <c r="M335" s="12">
        <v>3000</v>
      </c>
      <c r="N335" s="12">
        <v>1250</v>
      </c>
      <c r="O335" s="12">
        <v>1750</v>
      </c>
      <c r="P335" s="12">
        <v>4500</v>
      </c>
      <c r="Q335" s="12">
        <v>14000</v>
      </c>
      <c r="R335" s="12">
        <v>5000</v>
      </c>
      <c r="S335">
        <v>12000</v>
      </c>
      <c r="T335">
        <v>20000</v>
      </c>
      <c r="U335">
        <v>3500</v>
      </c>
      <c r="AO335" s="13"/>
      <c r="AP335" s="13"/>
      <c r="AQ335" s="13"/>
      <c r="AR335" s="13"/>
      <c r="AS335" s="13"/>
      <c r="AT335" s="13"/>
      <c r="AU335" s="13"/>
      <c r="AV335" s="13"/>
    </row>
    <row r="336" spans="1:48" x14ac:dyDescent="0.25">
      <c r="A336">
        <v>2022</v>
      </c>
      <c r="B336" s="10" t="s">
        <v>13</v>
      </c>
      <c r="C336" s="11">
        <f t="shared" si="113"/>
        <v>158850</v>
      </c>
      <c r="D336" s="12">
        <v>350</v>
      </c>
      <c r="E336" s="12">
        <v>1250</v>
      </c>
      <c r="F336" s="12">
        <v>27000</v>
      </c>
      <c r="G336" s="12">
        <v>8000</v>
      </c>
      <c r="H336" s="12">
        <v>4000</v>
      </c>
      <c r="I336" s="12">
        <v>9000</v>
      </c>
      <c r="J336" s="12">
        <v>16000</v>
      </c>
      <c r="K336" s="12">
        <v>6000</v>
      </c>
      <c r="L336" s="12">
        <v>10000</v>
      </c>
      <c r="M336" s="12">
        <v>2500</v>
      </c>
      <c r="N336" s="12">
        <v>2250</v>
      </c>
      <c r="O336" s="12">
        <v>2500</v>
      </c>
      <c r="P336" s="12">
        <v>8000</v>
      </c>
      <c r="Q336" s="12">
        <v>10000</v>
      </c>
      <c r="R336" s="12">
        <v>6000</v>
      </c>
      <c r="S336">
        <v>17000</v>
      </c>
      <c r="T336">
        <v>23000</v>
      </c>
      <c r="U336">
        <v>6000</v>
      </c>
      <c r="AO336" s="13"/>
      <c r="AP336" s="13"/>
      <c r="AQ336" s="13"/>
      <c r="AR336" s="13"/>
      <c r="AS336" s="13"/>
      <c r="AT336" s="13"/>
      <c r="AU336" s="13"/>
      <c r="AV336" s="13"/>
    </row>
    <row r="337" spans="1:48" x14ac:dyDescent="0.25">
      <c r="A337">
        <v>2022</v>
      </c>
      <c r="B337" s="10" t="s">
        <v>14</v>
      </c>
      <c r="C337" s="11">
        <f t="shared" si="113"/>
        <v>490450</v>
      </c>
      <c r="D337" s="12">
        <v>450</v>
      </c>
      <c r="E337" s="12">
        <v>6000</v>
      </c>
      <c r="F337" s="12">
        <v>29000</v>
      </c>
      <c r="G337" s="12">
        <v>18000</v>
      </c>
      <c r="H337" s="12">
        <v>8000</v>
      </c>
      <c r="I337" s="12">
        <v>17000</v>
      </c>
      <c r="J337" s="12">
        <v>33000</v>
      </c>
      <c r="K337" s="12">
        <v>20000</v>
      </c>
      <c r="L337" s="12">
        <v>30000</v>
      </c>
      <c r="M337" s="12">
        <v>26000</v>
      </c>
      <c r="N337" s="12">
        <v>25000</v>
      </c>
      <c r="O337" s="12">
        <v>8000</v>
      </c>
      <c r="P337" s="12">
        <v>51000</v>
      </c>
      <c r="Q337" s="12">
        <v>67000</v>
      </c>
      <c r="R337" s="12">
        <v>21000</v>
      </c>
      <c r="S337">
        <v>43000</v>
      </c>
      <c r="T337">
        <v>68000</v>
      </c>
      <c r="U337">
        <v>20000</v>
      </c>
      <c r="AO337" s="13"/>
      <c r="AP337" s="13"/>
      <c r="AQ337" s="13"/>
      <c r="AR337" s="13"/>
      <c r="AS337" s="13"/>
      <c r="AT337" s="13"/>
      <c r="AU337" s="13"/>
      <c r="AV337" s="13"/>
    </row>
    <row r="338" spans="1:48" x14ac:dyDescent="0.25">
      <c r="A338">
        <v>2022</v>
      </c>
      <c r="B338" s="10" t="s">
        <v>15</v>
      </c>
      <c r="C338" s="11">
        <f t="shared" si="113"/>
        <v>66750</v>
      </c>
      <c r="D338" s="12">
        <v>100</v>
      </c>
      <c r="E338" s="12">
        <v>900</v>
      </c>
      <c r="F338" s="12">
        <v>11000</v>
      </c>
      <c r="G338" s="12">
        <v>3000</v>
      </c>
      <c r="H338" s="12">
        <v>2000</v>
      </c>
      <c r="I338" s="12">
        <v>2500</v>
      </c>
      <c r="J338" s="12">
        <v>7000</v>
      </c>
      <c r="K338" s="12">
        <v>5000</v>
      </c>
      <c r="L338" s="12">
        <v>5000</v>
      </c>
      <c r="M338" s="12">
        <v>450</v>
      </c>
      <c r="N338" s="12">
        <v>600</v>
      </c>
      <c r="O338" s="12">
        <v>700</v>
      </c>
      <c r="P338" s="12">
        <v>3000</v>
      </c>
      <c r="Q338" s="12">
        <v>4000</v>
      </c>
      <c r="R338" s="12">
        <v>1250</v>
      </c>
      <c r="S338">
        <v>6000</v>
      </c>
      <c r="T338">
        <v>12000</v>
      </c>
      <c r="U338">
        <v>2250</v>
      </c>
      <c r="AO338" s="13"/>
      <c r="AP338" s="13"/>
      <c r="AQ338" s="13"/>
      <c r="AR338" s="13"/>
      <c r="AS338" s="13"/>
      <c r="AT338" s="13"/>
      <c r="AU338" s="13"/>
      <c r="AV338" s="13"/>
    </row>
    <row r="339" spans="1:48" x14ac:dyDescent="0.25">
      <c r="A339">
        <v>2022</v>
      </c>
      <c r="B339" s="10" t="s">
        <v>16</v>
      </c>
      <c r="C339" s="11">
        <f t="shared" si="113"/>
        <v>73250</v>
      </c>
      <c r="D339" s="12">
        <v>700</v>
      </c>
      <c r="E339" s="12">
        <v>1000</v>
      </c>
      <c r="F339" s="12">
        <v>19000</v>
      </c>
      <c r="G339" s="12">
        <v>5000</v>
      </c>
      <c r="H339" s="12">
        <v>2000</v>
      </c>
      <c r="I339" s="12">
        <v>2250</v>
      </c>
      <c r="J339" s="12">
        <v>7000</v>
      </c>
      <c r="K339" s="12">
        <v>6000</v>
      </c>
      <c r="L339" s="12">
        <v>4000</v>
      </c>
      <c r="M339" s="12">
        <v>600</v>
      </c>
      <c r="N339" s="12">
        <v>500</v>
      </c>
      <c r="O339" s="12">
        <v>700</v>
      </c>
      <c r="P339" s="12">
        <v>2000</v>
      </c>
      <c r="Q339" s="12">
        <v>4000</v>
      </c>
      <c r="R339" s="12">
        <v>3000</v>
      </c>
      <c r="S339">
        <v>5000</v>
      </c>
      <c r="T339">
        <v>8000</v>
      </c>
      <c r="U339">
        <v>2500</v>
      </c>
      <c r="AO339" s="13"/>
      <c r="AP339" s="13"/>
      <c r="AQ339" s="13"/>
      <c r="AR339" s="13"/>
      <c r="AS339" s="13"/>
      <c r="AT339" s="13"/>
      <c r="AU339" s="13"/>
      <c r="AV339" s="13"/>
    </row>
    <row r="340" spans="1:48" x14ac:dyDescent="0.25">
      <c r="A340">
        <v>2022</v>
      </c>
      <c r="B340" s="10" t="s">
        <v>24</v>
      </c>
      <c r="C340" s="11">
        <f t="shared" si="113"/>
        <v>16875</v>
      </c>
      <c r="D340" s="12">
        <v>800</v>
      </c>
      <c r="E340" s="12">
        <v>150</v>
      </c>
      <c r="F340" s="12">
        <v>900</v>
      </c>
      <c r="G340" s="12">
        <v>1000</v>
      </c>
      <c r="H340" s="12">
        <v>500</v>
      </c>
      <c r="I340" s="12">
        <v>700</v>
      </c>
      <c r="J340" s="12">
        <v>1750</v>
      </c>
      <c r="K340" s="12">
        <v>700</v>
      </c>
      <c r="L340" s="12">
        <v>3000</v>
      </c>
      <c r="M340" s="12">
        <v>300</v>
      </c>
      <c r="N340" s="12">
        <v>125</v>
      </c>
      <c r="O340" s="12">
        <v>300</v>
      </c>
      <c r="P340" s="12">
        <v>1000</v>
      </c>
      <c r="Q340" s="12">
        <v>900</v>
      </c>
      <c r="R340" s="12">
        <v>1000</v>
      </c>
      <c r="S340">
        <v>1250</v>
      </c>
      <c r="T340">
        <v>1250</v>
      </c>
      <c r="U340">
        <v>1250</v>
      </c>
      <c r="AO340" s="13"/>
      <c r="AP340" s="13"/>
      <c r="AQ340" s="13"/>
      <c r="AR340" s="13"/>
      <c r="AS340" s="13"/>
      <c r="AT340" s="13"/>
      <c r="AU340" s="13"/>
      <c r="AV340" s="13"/>
    </row>
    <row r="341" spans="1:48" x14ac:dyDescent="0.25">
      <c r="A341">
        <v>2022</v>
      </c>
      <c r="B341" s="10" t="s">
        <v>17</v>
      </c>
      <c r="C341" s="11">
        <f t="shared" si="113"/>
        <v>103275</v>
      </c>
      <c r="D341" s="12">
        <v>175</v>
      </c>
      <c r="E341" s="12">
        <v>1500</v>
      </c>
      <c r="F341" s="12">
        <v>15000</v>
      </c>
      <c r="G341" s="12">
        <v>8000</v>
      </c>
      <c r="H341" s="12">
        <v>2500</v>
      </c>
      <c r="I341" s="12">
        <v>4000</v>
      </c>
      <c r="J341" s="12">
        <v>9000</v>
      </c>
      <c r="K341" s="12">
        <v>6000</v>
      </c>
      <c r="L341" s="12">
        <v>7000</v>
      </c>
      <c r="M341" s="12">
        <v>1750</v>
      </c>
      <c r="N341" s="12">
        <v>1750</v>
      </c>
      <c r="O341" s="12">
        <v>600</v>
      </c>
      <c r="P341" s="12">
        <v>3000</v>
      </c>
      <c r="Q341" s="12">
        <v>9000</v>
      </c>
      <c r="R341" s="12">
        <v>6000</v>
      </c>
      <c r="S341">
        <v>9000</v>
      </c>
      <c r="T341">
        <v>16000</v>
      </c>
      <c r="U341">
        <v>3000</v>
      </c>
      <c r="AO341" s="13"/>
      <c r="AP341" s="13"/>
      <c r="AQ341" s="13"/>
      <c r="AR341" s="13"/>
      <c r="AS341" s="13"/>
      <c r="AT341" s="13"/>
      <c r="AU341" s="13"/>
      <c r="AV341" s="13"/>
    </row>
    <row r="342" spans="1:48" x14ac:dyDescent="0.25">
      <c r="A342">
        <v>2022</v>
      </c>
      <c r="B342" s="10" t="s">
        <v>18</v>
      </c>
      <c r="C342" s="11">
        <f t="shared" si="113"/>
        <v>25075</v>
      </c>
      <c r="D342" s="12">
        <v>1000</v>
      </c>
      <c r="E342" s="12">
        <v>150</v>
      </c>
      <c r="F342" s="12">
        <v>5000</v>
      </c>
      <c r="G342" s="12">
        <v>1000</v>
      </c>
      <c r="H342" s="12">
        <v>600</v>
      </c>
      <c r="I342" s="12">
        <v>1000</v>
      </c>
      <c r="J342" s="12">
        <v>2250</v>
      </c>
      <c r="K342" s="12">
        <v>600</v>
      </c>
      <c r="L342" s="12">
        <v>3000</v>
      </c>
      <c r="M342" s="12">
        <v>225</v>
      </c>
      <c r="N342" s="12">
        <v>250</v>
      </c>
      <c r="O342" s="12">
        <v>300</v>
      </c>
      <c r="P342" s="12">
        <v>2000</v>
      </c>
      <c r="Q342" s="12">
        <v>1250</v>
      </c>
      <c r="R342" s="12">
        <v>700</v>
      </c>
      <c r="S342">
        <v>1750</v>
      </c>
      <c r="T342">
        <v>1750</v>
      </c>
      <c r="U342">
        <v>2250</v>
      </c>
      <c r="AO342" s="13"/>
      <c r="AP342" s="13"/>
      <c r="AQ342" s="13"/>
      <c r="AR342" s="13"/>
      <c r="AS342" s="13"/>
      <c r="AT342" s="13"/>
      <c r="AU342" s="13"/>
      <c r="AV342" s="13"/>
    </row>
    <row r="343" spans="1:48" x14ac:dyDescent="0.25">
      <c r="A343">
        <v>2022</v>
      </c>
      <c r="B343" s="10" t="s">
        <v>19</v>
      </c>
      <c r="C343" s="11">
        <f t="shared" si="113"/>
        <v>44700</v>
      </c>
      <c r="D343" s="12">
        <v>700</v>
      </c>
      <c r="E343" s="12">
        <v>450</v>
      </c>
      <c r="F343" s="12">
        <v>5000</v>
      </c>
      <c r="G343" s="12">
        <v>1500</v>
      </c>
      <c r="H343" s="12">
        <v>600</v>
      </c>
      <c r="I343" s="12">
        <v>800</v>
      </c>
      <c r="J343" s="12">
        <v>5000</v>
      </c>
      <c r="K343" s="12">
        <v>900</v>
      </c>
      <c r="L343" s="12">
        <v>9000</v>
      </c>
      <c r="M343" s="12">
        <v>400</v>
      </c>
      <c r="N343" s="12">
        <v>350</v>
      </c>
      <c r="O343" s="12">
        <v>1000</v>
      </c>
      <c r="P343" s="12">
        <v>1250</v>
      </c>
      <c r="Q343" s="12">
        <v>3000</v>
      </c>
      <c r="R343" s="12">
        <v>2000</v>
      </c>
      <c r="S343">
        <v>3000</v>
      </c>
      <c r="T343">
        <v>8000</v>
      </c>
      <c r="U343">
        <v>1750</v>
      </c>
      <c r="AO343" s="13"/>
      <c r="AP343" s="13"/>
      <c r="AQ343" s="13"/>
      <c r="AR343" s="13"/>
      <c r="AS343" s="13"/>
      <c r="AT343" s="13"/>
      <c r="AU343" s="13"/>
      <c r="AV343" s="13"/>
    </row>
    <row r="344" spans="1:48" x14ac:dyDescent="0.25">
      <c r="A344">
        <v>2022</v>
      </c>
      <c r="B344" s="10" t="s">
        <v>20</v>
      </c>
      <c r="C344" s="11">
        <f t="shared" si="113"/>
        <v>36175</v>
      </c>
      <c r="D344" s="12">
        <v>800</v>
      </c>
      <c r="E344" s="12">
        <v>1500</v>
      </c>
      <c r="F344" s="12">
        <v>8000</v>
      </c>
      <c r="G344" s="12">
        <v>2000</v>
      </c>
      <c r="H344" s="12">
        <v>700</v>
      </c>
      <c r="I344" s="12">
        <v>1000</v>
      </c>
      <c r="J344" s="12">
        <v>2500</v>
      </c>
      <c r="K344" s="12">
        <v>3500</v>
      </c>
      <c r="L344" s="12">
        <v>2000</v>
      </c>
      <c r="M344" s="12">
        <v>450</v>
      </c>
      <c r="N344" s="12">
        <v>225</v>
      </c>
      <c r="O344" s="12">
        <v>300</v>
      </c>
      <c r="P344" s="12">
        <v>3000</v>
      </c>
      <c r="Q344" s="12">
        <v>3000</v>
      </c>
      <c r="R344" s="12">
        <v>900</v>
      </c>
      <c r="S344">
        <v>2500</v>
      </c>
      <c r="T344">
        <v>3000</v>
      </c>
      <c r="U344">
        <v>800</v>
      </c>
      <c r="AO344" s="13"/>
      <c r="AP344" s="13"/>
      <c r="AQ344" s="13"/>
      <c r="AR344" s="13"/>
      <c r="AS344" s="13"/>
      <c r="AT344" s="13"/>
      <c r="AU344" s="13"/>
      <c r="AV344" s="13"/>
    </row>
    <row r="345" spans="1:48" x14ac:dyDescent="0.25">
      <c r="A345">
        <v>2022</v>
      </c>
      <c r="B345" s="10" t="s">
        <v>21</v>
      </c>
      <c r="C345" s="11">
        <f t="shared" si="113"/>
        <v>265750</v>
      </c>
      <c r="D345" s="12">
        <v>250</v>
      </c>
      <c r="E345" s="12">
        <v>2000</v>
      </c>
      <c r="F345" s="12">
        <v>20000</v>
      </c>
      <c r="G345" s="12">
        <v>9000</v>
      </c>
      <c r="H345" s="12">
        <v>4500</v>
      </c>
      <c r="I345" s="12">
        <v>10000</v>
      </c>
      <c r="J345" s="12">
        <v>24000</v>
      </c>
      <c r="K345" s="12">
        <v>10000</v>
      </c>
      <c r="L345" s="12">
        <v>18000</v>
      </c>
      <c r="M345" s="12">
        <v>11000</v>
      </c>
      <c r="N345" s="12">
        <v>9000</v>
      </c>
      <c r="O345" s="12">
        <v>3000</v>
      </c>
      <c r="P345" s="12">
        <v>20000</v>
      </c>
      <c r="Q345" s="12">
        <v>21000</v>
      </c>
      <c r="R345" s="12">
        <v>17000</v>
      </c>
      <c r="S345">
        <v>33000</v>
      </c>
      <c r="T345">
        <v>44000</v>
      </c>
      <c r="U345">
        <v>10000</v>
      </c>
      <c r="AO345" s="13"/>
      <c r="AP345" s="13"/>
      <c r="AQ345" s="13"/>
      <c r="AR345" s="13"/>
      <c r="AS345" s="13"/>
      <c r="AT345" s="13"/>
      <c r="AU345" s="13"/>
      <c r="AV345" s="13"/>
    </row>
    <row r="346" spans="1:48" x14ac:dyDescent="0.25">
      <c r="A346">
        <v>2022</v>
      </c>
      <c r="B346" s="10" t="s">
        <v>22</v>
      </c>
      <c r="C346" s="11">
        <f t="shared" si="113"/>
        <v>161300</v>
      </c>
      <c r="D346" s="12">
        <v>300</v>
      </c>
      <c r="E346" s="12">
        <v>2250</v>
      </c>
      <c r="F346" s="12">
        <v>20000</v>
      </c>
      <c r="G346" s="12">
        <v>8000</v>
      </c>
      <c r="H346" s="12">
        <v>4000</v>
      </c>
      <c r="I346" s="12">
        <v>11000</v>
      </c>
      <c r="J346" s="12">
        <v>12000</v>
      </c>
      <c r="K346" s="12">
        <v>18000</v>
      </c>
      <c r="L346" s="12">
        <v>9000</v>
      </c>
      <c r="M346" s="12">
        <v>2250</v>
      </c>
      <c r="N346" s="12">
        <v>2000</v>
      </c>
      <c r="O346" s="12">
        <v>2500</v>
      </c>
      <c r="P346" s="12">
        <v>7000</v>
      </c>
      <c r="Q346" s="12">
        <v>14000</v>
      </c>
      <c r="R346" s="12">
        <v>10000</v>
      </c>
      <c r="S346">
        <v>11000</v>
      </c>
      <c r="T346">
        <v>24000</v>
      </c>
      <c r="U346">
        <v>4000</v>
      </c>
      <c r="AO346" s="13"/>
      <c r="AP346" s="13"/>
      <c r="AQ346" s="13"/>
      <c r="AR346" s="13"/>
      <c r="AS346" s="13"/>
      <c r="AT346" s="13"/>
      <c r="AU346" s="13"/>
      <c r="AV346" s="13"/>
    </row>
    <row r="347" spans="1:48" x14ac:dyDescent="0.25">
      <c r="A347">
        <v>2022</v>
      </c>
      <c r="B347" s="10" t="s">
        <v>23</v>
      </c>
      <c r="C347" s="11">
        <f t="shared" si="113"/>
        <v>109675</v>
      </c>
      <c r="D347" s="12">
        <v>225</v>
      </c>
      <c r="E347" s="12">
        <v>450</v>
      </c>
      <c r="F347" s="12">
        <v>4000</v>
      </c>
      <c r="G347" s="12">
        <v>3500</v>
      </c>
      <c r="H347" s="12">
        <v>1500</v>
      </c>
      <c r="I347" s="12">
        <v>2000</v>
      </c>
      <c r="J347" s="12">
        <v>12000</v>
      </c>
      <c r="K347" s="12">
        <v>4500</v>
      </c>
      <c r="L347" s="12">
        <v>12000</v>
      </c>
      <c r="M347" s="12">
        <v>3500</v>
      </c>
      <c r="N347" s="12">
        <v>4000</v>
      </c>
      <c r="O347" s="12">
        <v>1500</v>
      </c>
      <c r="P347" s="12">
        <v>9000</v>
      </c>
      <c r="Q347" s="12">
        <v>8000</v>
      </c>
      <c r="R347" s="12">
        <v>8000</v>
      </c>
      <c r="S347">
        <v>13000</v>
      </c>
      <c r="T347">
        <v>18000</v>
      </c>
      <c r="U347">
        <v>4500</v>
      </c>
      <c r="AO347" s="13"/>
      <c r="AP347" s="13"/>
      <c r="AQ347" s="13"/>
      <c r="AR347" s="13"/>
      <c r="AS347" s="13"/>
      <c r="AT347" s="13"/>
      <c r="AU347" s="13"/>
      <c r="AV347" s="13"/>
    </row>
    <row r="348" spans="1:48" x14ac:dyDescent="0.25">
      <c r="A348">
        <v>2022</v>
      </c>
      <c r="B348" s="10" t="s">
        <v>27</v>
      </c>
      <c r="C348" s="11">
        <f t="shared" si="113"/>
        <v>273000</v>
      </c>
      <c r="D348" s="12">
        <v>7000</v>
      </c>
      <c r="E348" s="12">
        <v>3500</v>
      </c>
      <c r="F348" s="12">
        <v>34000</v>
      </c>
      <c r="G348" s="12">
        <v>13000</v>
      </c>
      <c r="H348" s="12">
        <v>5000</v>
      </c>
      <c r="I348" s="12">
        <v>11000</v>
      </c>
      <c r="J348" s="12">
        <v>25000</v>
      </c>
      <c r="K348" s="12">
        <v>10000</v>
      </c>
      <c r="L348" s="12">
        <v>34000</v>
      </c>
      <c r="M348" s="12">
        <v>5000</v>
      </c>
      <c r="N348" s="12">
        <v>6000</v>
      </c>
      <c r="O348" s="12">
        <v>4500</v>
      </c>
      <c r="P348" s="12">
        <v>19000</v>
      </c>
      <c r="Q348" s="12">
        <v>22000</v>
      </c>
      <c r="R348" s="12">
        <v>12000</v>
      </c>
      <c r="S348">
        <v>20000</v>
      </c>
      <c r="T348">
        <v>31000</v>
      </c>
      <c r="U348">
        <v>11000</v>
      </c>
      <c r="W348" s="13"/>
    </row>
    <row r="349" spans="1:48" x14ac:dyDescent="0.25">
      <c r="A349">
        <v>2022</v>
      </c>
      <c r="B349" s="10" t="s">
        <v>11</v>
      </c>
      <c r="C349" s="11">
        <f t="shared" si="113"/>
        <v>588000</v>
      </c>
      <c r="D349" s="12">
        <v>1000</v>
      </c>
      <c r="E349" s="12">
        <v>6000</v>
      </c>
      <c r="F349" s="12">
        <v>59000</v>
      </c>
      <c r="G349" s="12">
        <v>30000</v>
      </c>
      <c r="H349" s="12">
        <v>13000</v>
      </c>
      <c r="I349" s="12">
        <v>22000</v>
      </c>
      <c r="J349" s="12">
        <v>56000</v>
      </c>
      <c r="K349" s="12">
        <v>40000</v>
      </c>
      <c r="L349" s="12">
        <v>38000</v>
      </c>
      <c r="M349" s="12">
        <v>16000</v>
      </c>
      <c r="N349" s="12">
        <v>15000</v>
      </c>
      <c r="O349" s="12">
        <v>6000</v>
      </c>
      <c r="P349" s="12">
        <v>33000</v>
      </c>
      <c r="Q349" s="12">
        <v>46000</v>
      </c>
      <c r="R349" s="12">
        <v>33000</v>
      </c>
      <c r="S349">
        <v>59000</v>
      </c>
      <c r="T349">
        <v>95000</v>
      </c>
      <c r="U349">
        <v>20000</v>
      </c>
    </row>
    <row r="350" spans="1:48" x14ac:dyDescent="0.25">
      <c r="A350">
        <v>2022</v>
      </c>
      <c r="B350" s="10" t="s">
        <v>12</v>
      </c>
      <c r="C350" s="11">
        <f t="shared" si="113"/>
        <v>1103500</v>
      </c>
      <c r="D350" s="12">
        <v>1500</v>
      </c>
      <c r="E350" s="12">
        <v>13000</v>
      </c>
      <c r="F350" s="12">
        <v>112000</v>
      </c>
      <c r="G350" s="12">
        <v>47000</v>
      </c>
      <c r="H350" s="12">
        <v>22000</v>
      </c>
      <c r="I350" s="12">
        <v>52000</v>
      </c>
      <c r="J350" s="12">
        <v>90000</v>
      </c>
      <c r="K350" s="12">
        <v>56000</v>
      </c>
      <c r="L350" s="12">
        <v>69000</v>
      </c>
      <c r="M350" s="12">
        <v>35000</v>
      </c>
      <c r="N350" s="12">
        <v>43000</v>
      </c>
      <c r="O350" s="12">
        <v>17000</v>
      </c>
      <c r="P350" s="12">
        <v>82000</v>
      </c>
      <c r="Q350" s="12">
        <v>113000</v>
      </c>
      <c r="R350" s="12">
        <v>47000</v>
      </c>
      <c r="S350">
        <v>100000</v>
      </c>
      <c r="T350">
        <v>165000</v>
      </c>
      <c r="U350">
        <v>39000</v>
      </c>
    </row>
    <row r="351" spans="1:48" x14ac:dyDescent="0.25">
      <c r="A351">
        <v>2022</v>
      </c>
      <c r="B351" s="10" t="s">
        <v>25</v>
      </c>
      <c r="C351" s="11">
        <f>SUM(D351:U351)</f>
        <v>2470895</v>
      </c>
      <c r="D351" s="5">
        <f>SUM(D327:D347)</f>
        <v>13745</v>
      </c>
      <c r="E351" s="5">
        <f t="shared" ref="E351:U351" si="115">SUM(E327:E347)</f>
        <v>28075</v>
      </c>
      <c r="F351" s="5">
        <f t="shared" si="115"/>
        <v>281400</v>
      </c>
      <c r="G351" s="5">
        <f t="shared" si="115"/>
        <v>113250</v>
      </c>
      <c r="H351" s="5">
        <f t="shared" si="115"/>
        <v>50900</v>
      </c>
      <c r="I351" s="5">
        <f t="shared" si="115"/>
        <v>102500</v>
      </c>
      <c r="J351" s="5">
        <f t="shared" si="115"/>
        <v>221000</v>
      </c>
      <c r="K351" s="5">
        <f t="shared" si="115"/>
        <v>133750</v>
      </c>
      <c r="L351" s="5">
        <f t="shared" si="115"/>
        <v>178500</v>
      </c>
      <c r="M351" s="5">
        <f t="shared" si="115"/>
        <v>67775</v>
      </c>
      <c r="N351" s="5">
        <f t="shared" si="115"/>
        <v>70200</v>
      </c>
      <c r="O351" s="5">
        <f t="shared" si="115"/>
        <v>34150</v>
      </c>
      <c r="P351" s="5">
        <f t="shared" si="115"/>
        <v>160500</v>
      </c>
      <c r="Q351" s="5">
        <f t="shared" si="115"/>
        <v>217150</v>
      </c>
      <c r="R351" s="5">
        <f t="shared" si="115"/>
        <v>117950</v>
      </c>
      <c r="S351" s="5">
        <f t="shared" si="115"/>
        <v>226000</v>
      </c>
      <c r="T351" s="5">
        <f t="shared" si="115"/>
        <v>365750</v>
      </c>
      <c r="U351" s="5">
        <f t="shared" si="115"/>
        <v>88300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88D91-2171-4FBD-9111-50C9B73CDA24}">
  <dimension ref="A1:S22"/>
  <sheetViews>
    <sheetView workbookViewId="0">
      <pane xSplit="1" topLeftCell="B1" activePane="topRight" state="frozen"/>
      <selection activeCell="A2" sqref="A2"/>
      <selection pane="topRight" activeCell="A2" sqref="A2:A22"/>
    </sheetView>
  </sheetViews>
  <sheetFormatPr defaultRowHeight="15" x14ac:dyDescent="0.25"/>
  <cols>
    <col min="1" max="1" width="13.42578125" bestFit="1" customWidth="1"/>
    <col min="2" max="2" width="9.85546875" customWidth="1"/>
    <col min="3" max="3" width="8.5703125" bestFit="1" customWidth="1"/>
  </cols>
  <sheetData>
    <row r="1" spans="1:19" ht="89.25" x14ac:dyDescent="0.25">
      <c r="B1" s="1" t="s">
        <v>33</v>
      </c>
      <c r="C1" s="1" t="s">
        <v>32</v>
      </c>
      <c r="D1" s="1" t="s">
        <v>28</v>
      </c>
      <c r="E1" s="1" t="s">
        <v>29</v>
      </c>
      <c r="F1" s="1" t="s">
        <v>40</v>
      </c>
      <c r="G1" s="1" t="s">
        <v>30</v>
      </c>
      <c r="H1" s="1" t="s">
        <v>31</v>
      </c>
      <c r="I1" s="1" t="s">
        <v>39</v>
      </c>
      <c r="J1" s="1" t="s">
        <v>34</v>
      </c>
      <c r="K1" s="1" t="s">
        <v>35</v>
      </c>
      <c r="L1" s="1" t="s">
        <v>38</v>
      </c>
      <c r="M1" s="1" t="s">
        <v>37</v>
      </c>
      <c r="N1" s="1" t="s">
        <v>36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</row>
    <row r="2" spans="1:19" x14ac:dyDescent="0.25">
      <c r="A2" s="10" t="s">
        <v>3</v>
      </c>
      <c r="B2" s="13">
        <f>Data!D327/Data!$C327</f>
        <v>2.3654642223536371E-3</v>
      </c>
      <c r="C2" s="13">
        <f>Data!E327/Data!$C327</f>
        <v>7.0963926670609108E-3</v>
      </c>
      <c r="D2" s="13">
        <f>Data!F327/Data!$C327</f>
        <v>0.15375517445298639</v>
      </c>
      <c r="E2" s="13">
        <f>Data!G327/Data!$C327</f>
        <v>5.913660555884092E-2</v>
      </c>
      <c r="F2" s="13">
        <f>Data!H327/Data!$C327</f>
        <v>2.365464222353637E-2</v>
      </c>
      <c r="G2" s="13">
        <f>Data!I327/Data!$C327</f>
        <v>3.5481963335304553E-2</v>
      </c>
      <c r="H2" s="13">
        <f>Data!J327/Data!$C327</f>
        <v>0.10644589000591366</v>
      </c>
      <c r="I2" s="13">
        <f>Data!K327/Data!$C327</f>
        <v>8.2791247782377286E-2</v>
      </c>
      <c r="J2" s="13">
        <f>Data!L327/Data!$C327</f>
        <v>5.913660555884092E-2</v>
      </c>
      <c r="K2" s="13">
        <f>Data!M327/Data!$C327</f>
        <v>1.478415138971023E-2</v>
      </c>
      <c r="L2" s="13">
        <f>Data!N327/Data!$C327</f>
        <v>1.1827321111768185E-2</v>
      </c>
      <c r="M2" s="13">
        <f>Data!O327/Data!$C327</f>
        <v>1.7740981667652277E-2</v>
      </c>
      <c r="N2" s="13">
        <f>Data!P327/Data!$C327</f>
        <v>4.1395623891188643E-2</v>
      </c>
      <c r="O2" s="13">
        <f>Data!Q327/Data!$C327</f>
        <v>7.0963926670609107E-2</v>
      </c>
      <c r="P2" s="13">
        <f>Data!R327/Data!$C327</f>
        <v>3.5481963335304553E-2</v>
      </c>
      <c r="Q2" s="13">
        <f>Data!S327/Data!$C327</f>
        <v>8.2791247782377286E-2</v>
      </c>
      <c r="R2" s="13">
        <f>Data!T327/Data!$C327</f>
        <v>0.16558249556475457</v>
      </c>
      <c r="S2" s="13">
        <f>Data!U327/Data!$C327</f>
        <v>2.956830277942046E-2</v>
      </c>
    </row>
    <row r="3" spans="1:19" x14ac:dyDescent="0.25">
      <c r="A3" s="10" t="s">
        <v>5</v>
      </c>
      <c r="B3" s="13">
        <f>Data!D328/Data!$C328</f>
        <v>1.4577259475218659E-3</v>
      </c>
      <c r="C3" s="13">
        <f>Data!E328/Data!$C328</f>
        <v>1.2147716229348883E-2</v>
      </c>
      <c r="D3" s="13">
        <f>Data!F328/Data!$C328</f>
        <v>0.11661807580174927</v>
      </c>
      <c r="E3" s="13">
        <f>Data!G328/Data!$C328</f>
        <v>3.8872691933916424E-2</v>
      </c>
      <c r="F3" s="13">
        <f>Data!H328/Data!$C328</f>
        <v>2.1865889212827987E-2</v>
      </c>
      <c r="G3" s="13">
        <f>Data!I328/Data!$C328</f>
        <v>5.3449951409135082E-2</v>
      </c>
      <c r="H3" s="13">
        <f>Data!J328/Data!$C328</f>
        <v>0.10689990281827016</v>
      </c>
      <c r="I3" s="13">
        <f>Data!K328/Data!$C328</f>
        <v>4.3731778425655975E-2</v>
      </c>
      <c r="J3" s="13">
        <f>Data!L328/Data!$C328</f>
        <v>6.3168124392614183E-2</v>
      </c>
      <c r="K3" s="13">
        <f>Data!M328/Data!$C328</f>
        <v>1.7006802721088437E-2</v>
      </c>
      <c r="L3" s="13">
        <f>Data!N328/Data!$C328</f>
        <v>2.9154518950437316E-2</v>
      </c>
      <c r="M3" s="13">
        <f>Data!O328/Data!$C328</f>
        <v>1.4577259475218658E-2</v>
      </c>
      <c r="N3" s="13">
        <f>Data!P328/Data!$C328</f>
        <v>5.8309037900874633E-2</v>
      </c>
      <c r="O3" s="13">
        <f>Data!Q328/Data!$C328</f>
        <v>6.3168124392614183E-2</v>
      </c>
      <c r="P3" s="13">
        <f>Data!R328/Data!$C328</f>
        <v>3.8872691933916424E-2</v>
      </c>
      <c r="Q3" s="13">
        <f>Data!S328/Data!$C328</f>
        <v>0.10689990281827016</v>
      </c>
      <c r="R3" s="13">
        <f>Data!T328/Data!$C328</f>
        <v>0.184645286686103</v>
      </c>
      <c r="S3" s="13">
        <f>Data!U328/Data!$C328</f>
        <v>2.9154518950437316E-2</v>
      </c>
    </row>
    <row r="4" spans="1:19" x14ac:dyDescent="0.25">
      <c r="A4" s="10" t="s">
        <v>4</v>
      </c>
      <c r="B4" s="13">
        <f>Data!D329/Data!$C329</f>
        <v>1.9547612398771292E-3</v>
      </c>
      <c r="C4" s="13">
        <f>Data!E329/Data!$C329</f>
        <v>6.702038536721586E-3</v>
      </c>
      <c r="D4" s="13">
        <f>Data!F329/Data!$C329</f>
        <v>0.13404077073443171</v>
      </c>
      <c r="E4" s="13">
        <f>Data!G329/Data!$C329</f>
        <v>5.0265289025411899E-2</v>
      </c>
      <c r="F4" s="13">
        <f>Data!H329/Data!$C329</f>
        <v>1.6755096341803964E-2</v>
      </c>
      <c r="G4" s="13">
        <f>Data!I329/Data!$C329</f>
        <v>5.585032113934655E-2</v>
      </c>
      <c r="H4" s="13">
        <f>Data!J329/Data!$C329</f>
        <v>7.8190449595085171E-2</v>
      </c>
      <c r="I4" s="13">
        <f>Data!K329/Data!$C329</f>
        <v>3.3510192683607928E-2</v>
      </c>
      <c r="J4" s="13">
        <f>Data!L329/Data!$C329</f>
        <v>6.7020385367215857E-2</v>
      </c>
      <c r="K4" s="13">
        <f>Data!M329/Data!$C329</f>
        <v>1.6755096341803964E-2</v>
      </c>
      <c r="L4" s="13">
        <f>Data!N329/Data!$C329</f>
        <v>7.8190449595085171E-2</v>
      </c>
      <c r="M4" s="13">
        <f>Data!O329/Data!$C329</f>
        <v>1.3962580284836637E-2</v>
      </c>
      <c r="N4" s="13">
        <f>Data!P329/Data!$C329</f>
        <v>5.0265289025411899E-2</v>
      </c>
      <c r="O4" s="13">
        <f>Data!Q329/Data!$C329</f>
        <v>0.1117006422786931</v>
      </c>
      <c r="P4" s="13">
        <f>Data!R329/Data!$C329</f>
        <v>3.3510192683607928E-2</v>
      </c>
      <c r="Q4" s="13">
        <f>Data!S329/Data!$C329</f>
        <v>8.9360513822954485E-2</v>
      </c>
      <c r="R4" s="13">
        <f>Data!T329/Data!$C329</f>
        <v>0.12287070650656241</v>
      </c>
      <c r="S4" s="13">
        <f>Data!U329/Data!$C329</f>
        <v>3.9095224797542585E-2</v>
      </c>
    </row>
    <row r="5" spans="1:19" x14ac:dyDescent="0.25">
      <c r="A5" s="10" t="s">
        <v>6</v>
      </c>
      <c r="B5" s="13">
        <f>Data!D330/Data!$C330</f>
        <v>1.9401778496362168E-2</v>
      </c>
      <c r="C5" s="13">
        <f>Data!E330/Data!$C330</f>
        <v>5.6588520614389648E-3</v>
      </c>
      <c r="D5" s="13">
        <f>Data!F330/Data!$C330</f>
        <v>0.11317704122877931</v>
      </c>
      <c r="E5" s="13">
        <f>Data!G330/Data!$C330</f>
        <v>4.8504446240905413E-2</v>
      </c>
      <c r="F5" s="13">
        <f>Data!H330/Data!$C330</f>
        <v>1.4551333872271624E-2</v>
      </c>
      <c r="G5" s="13">
        <f>Data!I330/Data!$C330</f>
        <v>4.042037186742118E-2</v>
      </c>
      <c r="H5" s="13">
        <f>Data!J330/Data!$C330</f>
        <v>8.084074373484236E-2</v>
      </c>
      <c r="I5" s="13">
        <f>Data!K330/Data!$C330</f>
        <v>2.5869037995149554E-2</v>
      </c>
      <c r="J5" s="13">
        <f>Data!L330/Data!$C330</f>
        <v>0.11317704122877931</v>
      </c>
      <c r="K5" s="13">
        <f>Data!M330/Data!$C330</f>
        <v>1.6168148746968473E-2</v>
      </c>
      <c r="L5" s="13">
        <f>Data!N330/Data!$C330</f>
        <v>7.275666936135812E-2</v>
      </c>
      <c r="M5" s="13">
        <f>Data!O330/Data!$C330</f>
        <v>9.7008892481810841E-3</v>
      </c>
      <c r="N5" s="13">
        <f>Data!P330/Data!$C330</f>
        <v>4.8504446240905413E-2</v>
      </c>
      <c r="O5" s="13">
        <f>Data!Q330/Data!$C330</f>
        <v>0.19401778496362165</v>
      </c>
      <c r="P5" s="13">
        <f>Data!R330/Data!$C330</f>
        <v>1.9401778496362168E-2</v>
      </c>
      <c r="Q5" s="13">
        <f>Data!S330/Data!$C330</f>
        <v>7.275666936135812E-2</v>
      </c>
      <c r="R5" s="13">
        <f>Data!T330/Data!$C330</f>
        <v>7.275666936135812E-2</v>
      </c>
      <c r="S5" s="13">
        <f>Data!U330/Data!$C330</f>
        <v>3.2336297493936947E-2</v>
      </c>
    </row>
    <row r="6" spans="1:19" x14ac:dyDescent="0.25">
      <c r="A6" s="10" t="s">
        <v>7</v>
      </c>
      <c r="B6" s="13">
        <f>Data!D331/Data!$C331</f>
        <v>2.6246719160104987E-3</v>
      </c>
      <c r="C6" s="13">
        <f>Data!E331/Data!$C331</f>
        <v>1.3123359580052493E-2</v>
      </c>
      <c r="D6" s="13">
        <f>Data!F331/Data!$C331</f>
        <v>8.2489688788901394E-2</v>
      </c>
      <c r="E6" s="13">
        <f>Data!G331/Data!$C331</f>
        <v>5.9992500937382828E-2</v>
      </c>
      <c r="F6" s="13">
        <f>Data!H331/Data!$C331</f>
        <v>2.9996250468691414E-2</v>
      </c>
      <c r="G6" s="13">
        <f>Data!I331/Data!$C331</f>
        <v>3.3745781777277842E-2</v>
      </c>
      <c r="H6" s="13">
        <f>Data!J331/Data!$C331</f>
        <v>9.7487814023247091E-2</v>
      </c>
      <c r="I6" s="13">
        <f>Data!K331/Data!$C331</f>
        <v>0.13498312710911137</v>
      </c>
      <c r="J6" s="13">
        <f>Data!L331/Data!$C331</f>
        <v>5.9992500937382828E-2</v>
      </c>
      <c r="K6" s="13">
        <f>Data!M331/Data!$C331</f>
        <v>1.8747656542932135E-2</v>
      </c>
      <c r="L6" s="13">
        <f>Data!N331/Data!$C331</f>
        <v>1.8747656542932135E-2</v>
      </c>
      <c r="M6" s="13">
        <f>Data!O331/Data!$C331</f>
        <v>9.3738282714660674E-3</v>
      </c>
      <c r="N6" s="13">
        <f>Data!P331/Data!$C331</f>
        <v>4.4994375703037118E-2</v>
      </c>
      <c r="O6" s="13">
        <f>Data!Q331/Data!$C331</f>
        <v>7.4990626171728539E-2</v>
      </c>
      <c r="P6" s="13">
        <f>Data!R331/Data!$C331</f>
        <v>5.2493438320209973E-2</v>
      </c>
      <c r="Q6" s="13">
        <f>Data!S331/Data!$C331</f>
        <v>7.4990626171728539E-2</v>
      </c>
      <c r="R6" s="13">
        <f>Data!T331/Data!$C331</f>
        <v>0.15748031496062992</v>
      </c>
      <c r="S6" s="13">
        <f>Data!U331/Data!$C331</f>
        <v>3.3745781777277842E-2</v>
      </c>
    </row>
    <row r="7" spans="1:19" x14ac:dyDescent="0.25">
      <c r="A7" s="10" t="s">
        <v>26</v>
      </c>
      <c r="B7" s="13">
        <f>Data!D332/Data!$C332</f>
        <v>2.6871401151631478E-2</v>
      </c>
      <c r="C7" s="13">
        <f>Data!E332/Data!$C332</f>
        <v>1.9193857965451054E-2</v>
      </c>
      <c r="D7" s="13">
        <f>Data!F332/Data!$C332</f>
        <v>0.16122840690978887</v>
      </c>
      <c r="E7" s="13">
        <f>Data!G332/Data!$C332</f>
        <v>4.6065259117082535E-2</v>
      </c>
      <c r="F7" s="13">
        <f>Data!H332/Data!$C332</f>
        <v>2.3032629558541268E-2</v>
      </c>
      <c r="G7" s="13">
        <f>Data!I332/Data!$C332</f>
        <v>3.8387715930902108E-2</v>
      </c>
      <c r="H7" s="13">
        <f>Data!J332/Data!$C332</f>
        <v>9.2130518234165071E-2</v>
      </c>
      <c r="I7" s="13">
        <f>Data!K332/Data!$C332</f>
        <v>4.6065259117082535E-2</v>
      </c>
      <c r="J7" s="13">
        <f>Data!L332/Data!$C332</f>
        <v>8.4452975047984644E-2</v>
      </c>
      <c r="K7" s="13">
        <f>Data!M332/Data!$C332</f>
        <v>2.3032629558541268E-2</v>
      </c>
      <c r="L7" s="13">
        <f>Data!N332/Data!$C332</f>
        <v>9.5969289827255271E-3</v>
      </c>
      <c r="M7" s="13">
        <f>Data!O332/Data!$C332</f>
        <v>1.1516314779270634E-2</v>
      </c>
      <c r="N7" s="13">
        <f>Data!P332/Data!$C332</f>
        <v>6.1420345489443376E-2</v>
      </c>
      <c r="O7" s="13">
        <f>Data!Q332/Data!$C332</f>
        <v>4.6065259117082535E-2</v>
      </c>
      <c r="P7" s="13">
        <f>Data!R332/Data!$C332</f>
        <v>6.1420345489443376E-2</v>
      </c>
      <c r="Q7" s="13">
        <f>Data!S332/Data!$C332</f>
        <v>8.4452975047984644E-2</v>
      </c>
      <c r="R7" s="13">
        <f>Data!T332/Data!$C332</f>
        <v>0.13051823416506717</v>
      </c>
      <c r="S7" s="13">
        <f>Data!U332/Data!$C332</f>
        <v>3.4548944337811902E-2</v>
      </c>
    </row>
    <row r="8" spans="1:19" x14ac:dyDescent="0.25">
      <c r="A8" s="10" t="s">
        <v>8</v>
      </c>
      <c r="B8" s="13">
        <f>Data!D333/Data!$C333</f>
        <v>3.0674846625766871E-2</v>
      </c>
      <c r="C8" s="13">
        <f>Data!E333/Data!$C333</f>
        <v>1.2269938650306749E-2</v>
      </c>
      <c r="D8" s="13">
        <f>Data!F333/Data!$C333</f>
        <v>0.14723926380368099</v>
      </c>
      <c r="E8" s="13">
        <f>Data!G333/Data!$C333</f>
        <v>5.5214723926380369E-2</v>
      </c>
      <c r="F8" s="13">
        <f>Data!H333/Data!$C333</f>
        <v>1.9631901840490799E-2</v>
      </c>
      <c r="G8" s="13">
        <f>Data!I333/Data!$C333</f>
        <v>4.9079754601226995E-2</v>
      </c>
      <c r="H8" s="13">
        <f>Data!J333/Data!$C333</f>
        <v>9.815950920245399E-2</v>
      </c>
      <c r="I8" s="13">
        <f>Data!K333/Data!$C333</f>
        <v>3.0674846625766871E-2</v>
      </c>
      <c r="J8" s="13">
        <f>Data!L333/Data!$C333</f>
        <v>9.815950920245399E-2</v>
      </c>
      <c r="K8" s="13">
        <f>Data!M333/Data!$C333</f>
        <v>1.4723926380368098E-2</v>
      </c>
      <c r="L8" s="13">
        <f>Data!N333/Data!$C333</f>
        <v>9.8159509202453993E-3</v>
      </c>
      <c r="M8" s="13">
        <f>Data!O333/Data!$C333</f>
        <v>1.7177914110429449E-2</v>
      </c>
      <c r="N8" s="13">
        <f>Data!P333/Data!$C333</f>
        <v>5.5214723926380369E-2</v>
      </c>
      <c r="O8" s="13">
        <f>Data!Q333/Data!$C333</f>
        <v>4.9079754601226995E-2</v>
      </c>
      <c r="P8" s="13">
        <f>Data!R333/Data!$C333</f>
        <v>0.11042944785276074</v>
      </c>
      <c r="Q8" s="13">
        <f>Data!S333/Data!$C333</f>
        <v>5.5214723926380369E-2</v>
      </c>
      <c r="R8" s="13">
        <f>Data!T333/Data!$C333</f>
        <v>0.11042944785276074</v>
      </c>
      <c r="S8" s="13">
        <f>Data!U333/Data!$C333</f>
        <v>3.6809815950920248E-2</v>
      </c>
    </row>
    <row r="9" spans="1:19" x14ac:dyDescent="0.25">
      <c r="A9" s="10" t="s">
        <v>9</v>
      </c>
      <c r="B9" s="13">
        <f>Data!D334/Data!$C334</f>
        <v>1.9455252918287938E-2</v>
      </c>
      <c r="C9" s="13">
        <f>Data!E334/Data!$C334</f>
        <v>7.7821011673151752E-3</v>
      </c>
      <c r="D9" s="13">
        <f>Data!F334/Data!$C334</f>
        <v>6.4850843060959798E-2</v>
      </c>
      <c r="E9" s="13">
        <f>Data!G334/Data!$C334</f>
        <v>3.8910505836575876E-2</v>
      </c>
      <c r="F9" s="13">
        <f>Data!H334/Data!$C334</f>
        <v>1.9455252918287938E-2</v>
      </c>
      <c r="G9" s="13">
        <f>Data!I334/Data!$C334</f>
        <v>5.8365758754863814E-2</v>
      </c>
      <c r="H9" s="13">
        <f>Data!J334/Data!$C334</f>
        <v>0.10376134889753567</v>
      </c>
      <c r="I9" s="13">
        <f>Data!K334/Data!$C334</f>
        <v>3.2425421530479899E-2</v>
      </c>
      <c r="J9" s="13">
        <f>Data!L334/Data!$C334</f>
        <v>0.11673151750972763</v>
      </c>
      <c r="K9" s="13">
        <f>Data!M334/Data!$C334</f>
        <v>3.2425421530479899E-2</v>
      </c>
      <c r="L9" s="13">
        <f>Data!N334/Data!$C334</f>
        <v>3.2425421530479899E-2</v>
      </c>
      <c r="M9" s="13">
        <f>Data!O334/Data!$C334</f>
        <v>1.9455252918287938E-2</v>
      </c>
      <c r="N9" s="13">
        <f>Data!P334/Data!$C334</f>
        <v>0.10376134889753567</v>
      </c>
      <c r="O9" s="13">
        <f>Data!Q334/Data!$C334</f>
        <v>6.4850843060959798E-2</v>
      </c>
      <c r="P9" s="13">
        <f>Data!R334/Data!$C334</f>
        <v>2.5940337224383919E-2</v>
      </c>
      <c r="Q9" s="13">
        <f>Data!S334/Data!$C334</f>
        <v>7.7821011673151752E-2</v>
      </c>
      <c r="R9" s="13">
        <f>Data!T334/Data!$C334</f>
        <v>0.14267185473411154</v>
      </c>
      <c r="S9" s="13">
        <f>Data!U334/Data!$C334</f>
        <v>3.8910505836575876E-2</v>
      </c>
    </row>
    <row r="10" spans="1:19" x14ac:dyDescent="0.25">
      <c r="A10" s="10" t="s">
        <v>10</v>
      </c>
      <c r="B10" s="13">
        <f>Data!D335/Data!$C335</f>
        <v>1.5807777426493836E-4</v>
      </c>
      <c r="C10" s="13">
        <f>Data!E335/Data!$C335</f>
        <v>9.8798608915586471E-3</v>
      </c>
      <c r="D10" s="13">
        <f>Data!F335/Data!$C335</f>
        <v>0.17388555169143219</v>
      </c>
      <c r="E10" s="13">
        <f>Data!G335/Data!$C335</f>
        <v>5.5327220992728424E-2</v>
      </c>
      <c r="F10" s="13">
        <f>Data!H335/Data!$C335</f>
        <v>1.7783749604805565E-2</v>
      </c>
      <c r="G10" s="13">
        <f>Data!I335/Data!$C335</f>
        <v>3.9519443566234588E-2</v>
      </c>
      <c r="H10" s="13">
        <f>Data!J335/Data!$C335</f>
        <v>9.4846664558963012E-2</v>
      </c>
      <c r="I10" s="13">
        <f>Data!K335/Data!$C335</f>
        <v>3.9519443566234588E-2</v>
      </c>
      <c r="J10" s="13">
        <f>Data!L335/Data!$C335</f>
        <v>5.5327220992728424E-2</v>
      </c>
      <c r="K10" s="13">
        <f>Data!M335/Data!$C335</f>
        <v>2.3711666139740753E-2</v>
      </c>
      <c r="L10" s="13">
        <f>Data!N335/Data!$C335</f>
        <v>9.8798608915586471E-3</v>
      </c>
      <c r="M10" s="13">
        <f>Data!O335/Data!$C335</f>
        <v>1.3831805248182106E-2</v>
      </c>
      <c r="N10" s="13">
        <f>Data!P335/Data!$C335</f>
        <v>3.5567499209611129E-2</v>
      </c>
      <c r="O10" s="13">
        <f>Data!Q335/Data!$C335</f>
        <v>0.11065444198545685</v>
      </c>
      <c r="P10" s="13">
        <f>Data!R335/Data!$C335</f>
        <v>3.9519443566234588E-2</v>
      </c>
      <c r="Q10" s="13">
        <f>Data!S335/Data!$C335</f>
        <v>9.4846664558963012E-2</v>
      </c>
      <c r="R10" s="13">
        <f>Data!T335/Data!$C335</f>
        <v>0.15807777426493835</v>
      </c>
      <c r="S10" s="13">
        <f>Data!U335/Data!$C335</f>
        <v>2.7663610496364212E-2</v>
      </c>
    </row>
    <row r="11" spans="1:19" x14ac:dyDescent="0.25">
      <c r="A11" s="10" t="s">
        <v>13</v>
      </c>
      <c r="B11" s="13">
        <f>Data!D336/Data!$C336</f>
        <v>2.2033364809568774E-3</v>
      </c>
      <c r="C11" s="13">
        <f>Data!E336/Data!$C336</f>
        <v>7.8690588605602775E-3</v>
      </c>
      <c r="D11" s="13">
        <f>Data!F336/Data!$C336</f>
        <v>0.16997167138810199</v>
      </c>
      <c r="E11" s="13">
        <f>Data!G336/Data!$C336</f>
        <v>5.036197670758577E-2</v>
      </c>
      <c r="F11" s="13">
        <f>Data!H336/Data!$C336</f>
        <v>2.5180988353792885E-2</v>
      </c>
      <c r="G11" s="13">
        <f>Data!I336/Data!$C336</f>
        <v>5.6657223796033995E-2</v>
      </c>
      <c r="H11" s="13">
        <f>Data!J336/Data!$C336</f>
        <v>0.10072395341517154</v>
      </c>
      <c r="I11" s="13">
        <f>Data!K336/Data!$C336</f>
        <v>3.7771482530689328E-2</v>
      </c>
      <c r="J11" s="13">
        <f>Data!L336/Data!$C336</f>
        <v>6.295247088448222E-2</v>
      </c>
      <c r="K11" s="13">
        <f>Data!M336/Data!$C336</f>
        <v>1.5738117721120555E-2</v>
      </c>
      <c r="L11" s="13">
        <f>Data!N336/Data!$C336</f>
        <v>1.4164305949008499E-2</v>
      </c>
      <c r="M11" s="13">
        <f>Data!O336/Data!$C336</f>
        <v>1.5738117721120555E-2</v>
      </c>
      <c r="N11" s="13">
        <f>Data!P336/Data!$C336</f>
        <v>5.036197670758577E-2</v>
      </c>
      <c r="O11" s="13">
        <f>Data!Q336/Data!$C336</f>
        <v>6.295247088448222E-2</v>
      </c>
      <c r="P11" s="13">
        <f>Data!R336/Data!$C336</f>
        <v>3.7771482530689328E-2</v>
      </c>
      <c r="Q11" s="13">
        <f>Data!S336/Data!$C336</f>
        <v>0.10701920050361977</v>
      </c>
      <c r="R11" s="13">
        <f>Data!T336/Data!$C336</f>
        <v>0.14479068303430909</v>
      </c>
      <c r="S11" s="13">
        <f>Data!U336/Data!$C336</f>
        <v>3.7771482530689328E-2</v>
      </c>
    </row>
    <row r="12" spans="1:19" x14ac:dyDescent="0.25">
      <c r="A12" s="10" t="s">
        <v>14</v>
      </c>
      <c r="B12" s="13">
        <f>Data!D337/Data!$C337</f>
        <v>9.175247221939036E-4</v>
      </c>
      <c r="C12" s="13">
        <f>Data!E337/Data!$C337</f>
        <v>1.2233662962585381E-2</v>
      </c>
      <c r="D12" s="13">
        <f>Data!F337/Data!$C337</f>
        <v>5.9129370985829342E-2</v>
      </c>
      <c r="E12" s="13">
        <f>Data!G337/Data!$C337</f>
        <v>3.6700988887756143E-2</v>
      </c>
      <c r="F12" s="13">
        <f>Data!H337/Data!$C337</f>
        <v>1.6311550616780506E-2</v>
      </c>
      <c r="G12" s="13">
        <f>Data!I337/Data!$C337</f>
        <v>3.4662045060658578E-2</v>
      </c>
      <c r="H12" s="13">
        <f>Data!J337/Data!$C337</f>
        <v>6.7285146294219597E-2</v>
      </c>
      <c r="I12" s="13">
        <f>Data!K337/Data!$C337</f>
        <v>4.0778876541951267E-2</v>
      </c>
      <c r="J12" s="13">
        <f>Data!L337/Data!$C337</f>
        <v>6.1168314812926901E-2</v>
      </c>
      <c r="K12" s="13">
        <f>Data!M337/Data!$C337</f>
        <v>5.3012539504536653E-2</v>
      </c>
      <c r="L12" s="13">
        <f>Data!N337/Data!$C337</f>
        <v>5.0973595677439087E-2</v>
      </c>
      <c r="M12" s="13">
        <f>Data!O337/Data!$C337</f>
        <v>1.6311550616780506E-2</v>
      </c>
      <c r="N12" s="13">
        <f>Data!P337/Data!$C337</f>
        <v>0.10398613518197573</v>
      </c>
      <c r="O12" s="13">
        <f>Data!Q337/Data!$C337</f>
        <v>0.13660923641553674</v>
      </c>
      <c r="P12" s="13">
        <f>Data!R337/Data!$C337</f>
        <v>4.2817820369048833E-2</v>
      </c>
      <c r="Q12" s="13">
        <f>Data!S337/Data!$C337</f>
        <v>8.7674584565195224E-2</v>
      </c>
      <c r="R12" s="13">
        <f>Data!T337/Data!$C337</f>
        <v>0.13864818024263431</v>
      </c>
      <c r="S12" s="13">
        <f>Data!U337/Data!$C337</f>
        <v>4.0778876541951267E-2</v>
      </c>
    </row>
    <row r="13" spans="1:19" x14ac:dyDescent="0.25">
      <c r="A13" s="10" t="s">
        <v>15</v>
      </c>
      <c r="B13" s="13">
        <f>Data!D338/Data!$C338</f>
        <v>1.4981273408239701E-3</v>
      </c>
      <c r="C13" s="13">
        <f>Data!E338/Data!$C338</f>
        <v>1.3483146067415731E-2</v>
      </c>
      <c r="D13" s="13">
        <f>Data!F338/Data!$C338</f>
        <v>0.16479400749063669</v>
      </c>
      <c r="E13" s="13">
        <f>Data!G338/Data!$C338</f>
        <v>4.49438202247191E-2</v>
      </c>
      <c r="F13" s="13">
        <f>Data!H338/Data!$C338</f>
        <v>2.9962546816479401E-2</v>
      </c>
      <c r="G13" s="13">
        <f>Data!I338/Data!$C338</f>
        <v>3.7453183520599252E-2</v>
      </c>
      <c r="H13" s="13">
        <f>Data!J338/Data!$C338</f>
        <v>0.10486891385767791</v>
      </c>
      <c r="I13" s="13">
        <f>Data!K338/Data!$C338</f>
        <v>7.4906367041198504E-2</v>
      </c>
      <c r="J13" s="13">
        <f>Data!L338/Data!$C338</f>
        <v>7.4906367041198504E-2</v>
      </c>
      <c r="K13" s="13">
        <f>Data!M338/Data!$C338</f>
        <v>6.7415730337078653E-3</v>
      </c>
      <c r="L13" s="13">
        <f>Data!N338/Data!$C338</f>
        <v>8.988764044943821E-3</v>
      </c>
      <c r="M13" s="13">
        <f>Data!O338/Data!$C338</f>
        <v>1.0486891385767791E-2</v>
      </c>
      <c r="N13" s="13">
        <f>Data!P338/Data!$C338</f>
        <v>4.49438202247191E-2</v>
      </c>
      <c r="O13" s="13">
        <f>Data!Q338/Data!$C338</f>
        <v>5.9925093632958802E-2</v>
      </c>
      <c r="P13" s="13">
        <f>Data!R338/Data!$C338</f>
        <v>1.8726591760299626E-2</v>
      </c>
      <c r="Q13" s="13">
        <f>Data!S338/Data!$C338</f>
        <v>8.98876404494382E-2</v>
      </c>
      <c r="R13" s="13">
        <f>Data!T338/Data!$C338</f>
        <v>0.1797752808988764</v>
      </c>
      <c r="S13" s="13">
        <f>Data!U338/Data!$C338</f>
        <v>3.3707865168539325E-2</v>
      </c>
    </row>
    <row r="14" spans="1:19" x14ac:dyDescent="0.25">
      <c r="A14" s="10" t="s">
        <v>16</v>
      </c>
      <c r="B14" s="13">
        <f>Data!D339/Data!$C339</f>
        <v>9.5563139931740607E-3</v>
      </c>
      <c r="C14" s="13">
        <f>Data!E339/Data!$C339</f>
        <v>1.3651877133105802E-2</v>
      </c>
      <c r="D14" s="13">
        <f>Data!F339/Data!$C339</f>
        <v>0.25938566552901021</v>
      </c>
      <c r="E14" s="13">
        <f>Data!G339/Data!$C339</f>
        <v>6.8259385665529013E-2</v>
      </c>
      <c r="F14" s="13">
        <f>Data!H339/Data!$C339</f>
        <v>2.7303754266211604E-2</v>
      </c>
      <c r="G14" s="13">
        <f>Data!I339/Data!$C339</f>
        <v>3.0716723549488054E-2</v>
      </c>
      <c r="H14" s="13">
        <f>Data!J339/Data!$C339</f>
        <v>9.556313993174062E-2</v>
      </c>
      <c r="I14" s="13">
        <f>Data!K339/Data!$C339</f>
        <v>8.191126279863481E-2</v>
      </c>
      <c r="J14" s="13">
        <f>Data!L339/Data!$C339</f>
        <v>5.4607508532423209E-2</v>
      </c>
      <c r="K14" s="13">
        <f>Data!M339/Data!$C339</f>
        <v>8.1911262798634813E-3</v>
      </c>
      <c r="L14" s="13">
        <f>Data!N339/Data!$C339</f>
        <v>6.8259385665529011E-3</v>
      </c>
      <c r="M14" s="13">
        <f>Data!O339/Data!$C339</f>
        <v>9.5563139931740607E-3</v>
      </c>
      <c r="N14" s="13">
        <f>Data!P339/Data!$C339</f>
        <v>2.7303754266211604E-2</v>
      </c>
      <c r="O14" s="13">
        <f>Data!Q339/Data!$C339</f>
        <v>5.4607508532423209E-2</v>
      </c>
      <c r="P14" s="13">
        <f>Data!R339/Data!$C339</f>
        <v>4.0955631399317405E-2</v>
      </c>
      <c r="Q14" s="13">
        <f>Data!S339/Data!$C339</f>
        <v>6.8259385665529013E-2</v>
      </c>
      <c r="R14" s="13">
        <f>Data!T339/Data!$C339</f>
        <v>0.10921501706484642</v>
      </c>
      <c r="S14" s="13">
        <f>Data!U339/Data!$C339</f>
        <v>3.4129692832764506E-2</v>
      </c>
    </row>
    <row r="15" spans="1:19" x14ac:dyDescent="0.25">
      <c r="A15" s="10" t="s">
        <v>24</v>
      </c>
      <c r="B15" s="13">
        <f>Data!D340/Data!$C340</f>
        <v>4.7407407407407405E-2</v>
      </c>
      <c r="C15" s="13">
        <f>Data!E340/Data!$C340</f>
        <v>8.8888888888888889E-3</v>
      </c>
      <c r="D15" s="13">
        <f>Data!F340/Data!$C340</f>
        <v>5.3333333333333337E-2</v>
      </c>
      <c r="E15" s="13">
        <f>Data!G340/Data!$C340</f>
        <v>5.9259259259259262E-2</v>
      </c>
      <c r="F15" s="13">
        <f>Data!H340/Data!$C340</f>
        <v>2.9629629629629631E-2</v>
      </c>
      <c r="G15" s="13">
        <f>Data!I340/Data!$C340</f>
        <v>4.148148148148148E-2</v>
      </c>
      <c r="H15" s="13">
        <f>Data!J340/Data!$C340</f>
        <v>0.1037037037037037</v>
      </c>
      <c r="I15" s="13">
        <f>Data!K340/Data!$C340</f>
        <v>4.148148148148148E-2</v>
      </c>
      <c r="J15" s="13">
        <f>Data!L340/Data!$C340</f>
        <v>0.17777777777777778</v>
      </c>
      <c r="K15" s="13">
        <f>Data!M340/Data!$C340</f>
        <v>1.7777777777777778E-2</v>
      </c>
      <c r="L15" s="13">
        <f>Data!N340/Data!$C340</f>
        <v>7.4074074074074077E-3</v>
      </c>
      <c r="M15" s="13">
        <f>Data!O340/Data!$C340</f>
        <v>1.7777777777777778E-2</v>
      </c>
      <c r="N15" s="13">
        <f>Data!P340/Data!$C340</f>
        <v>5.9259259259259262E-2</v>
      </c>
      <c r="O15" s="13">
        <f>Data!Q340/Data!$C340</f>
        <v>5.3333333333333337E-2</v>
      </c>
      <c r="P15" s="13">
        <f>Data!R340/Data!$C340</f>
        <v>5.9259259259259262E-2</v>
      </c>
      <c r="Q15" s="13">
        <f>Data!S340/Data!$C340</f>
        <v>7.407407407407407E-2</v>
      </c>
      <c r="R15" s="13">
        <f>Data!T340/Data!$C340</f>
        <v>7.407407407407407E-2</v>
      </c>
      <c r="S15" s="13">
        <f>Data!U340/Data!$C340</f>
        <v>7.407407407407407E-2</v>
      </c>
    </row>
    <row r="16" spans="1:19" x14ac:dyDescent="0.25">
      <c r="A16" s="10" t="s">
        <v>17</v>
      </c>
      <c r="B16" s="13">
        <f>Data!D341/Data!$C341</f>
        <v>1.6945049624788188E-3</v>
      </c>
      <c r="C16" s="13">
        <f>Data!E341/Data!$C341</f>
        <v>1.4524328249818447E-2</v>
      </c>
      <c r="D16" s="13">
        <f>Data!F341/Data!$C341</f>
        <v>0.14524328249818447</v>
      </c>
      <c r="E16" s="13">
        <f>Data!G341/Data!$C341</f>
        <v>7.7463083999031707E-2</v>
      </c>
      <c r="F16" s="13">
        <f>Data!H341/Data!$C341</f>
        <v>2.420721374969741E-2</v>
      </c>
      <c r="G16" s="13">
        <f>Data!I341/Data!$C341</f>
        <v>3.8731541999515853E-2</v>
      </c>
      <c r="H16" s="13">
        <f>Data!J341/Data!$C341</f>
        <v>8.714596949891068E-2</v>
      </c>
      <c r="I16" s="13">
        <f>Data!K341/Data!$C341</f>
        <v>5.8097312999273787E-2</v>
      </c>
      <c r="J16" s="13">
        <f>Data!L341/Data!$C341</f>
        <v>6.7780198499152747E-2</v>
      </c>
      <c r="K16" s="13">
        <f>Data!M341/Data!$C341</f>
        <v>1.6945049624788187E-2</v>
      </c>
      <c r="L16" s="13">
        <f>Data!N341/Data!$C341</f>
        <v>1.6945049624788187E-2</v>
      </c>
      <c r="M16" s="13">
        <f>Data!O341/Data!$C341</f>
        <v>5.8097312999273783E-3</v>
      </c>
      <c r="N16" s="13">
        <f>Data!P341/Data!$C341</f>
        <v>2.9048656499636893E-2</v>
      </c>
      <c r="O16" s="13">
        <f>Data!Q341/Data!$C341</f>
        <v>8.714596949891068E-2</v>
      </c>
      <c r="P16" s="13">
        <f>Data!R341/Data!$C341</f>
        <v>5.8097312999273787E-2</v>
      </c>
      <c r="Q16" s="13">
        <f>Data!S341/Data!$C341</f>
        <v>8.714596949891068E-2</v>
      </c>
      <c r="R16" s="13">
        <f>Data!T341/Data!$C341</f>
        <v>0.15492616799806341</v>
      </c>
      <c r="S16" s="13">
        <f>Data!U341/Data!$C341</f>
        <v>2.9048656499636893E-2</v>
      </c>
    </row>
    <row r="17" spans="1:19" x14ac:dyDescent="0.25">
      <c r="A17" s="10" t="s">
        <v>18</v>
      </c>
      <c r="B17" s="13">
        <f>Data!D342/Data!$C342</f>
        <v>3.9880358923230309E-2</v>
      </c>
      <c r="C17" s="13">
        <f>Data!E342/Data!$C342</f>
        <v>5.9820538384845467E-3</v>
      </c>
      <c r="D17" s="13">
        <f>Data!F342/Data!$C342</f>
        <v>0.19940179461615154</v>
      </c>
      <c r="E17" s="13">
        <f>Data!G342/Data!$C342</f>
        <v>3.9880358923230309E-2</v>
      </c>
      <c r="F17" s="13">
        <f>Data!H342/Data!$C342</f>
        <v>2.3928215353938187E-2</v>
      </c>
      <c r="G17" s="13">
        <f>Data!I342/Data!$C342</f>
        <v>3.9880358923230309E-2</v>
      </c>
      <c r="H17" s="13">
        <f>Data!J342/Data!$C342</f>
        <v>8.9730807577268201E-2</v>
      </c>
      <c r="I17" s="13">
        <f>Data!K342/Data!$C342</f>
        <v>2.3928215353938187E-2</v>
      </c>
      <c r="J17" s="13">
        <f>Data!L342/Data!$C342</f>
        <v>0.11964107676969092</v>
      </c>
      <c r="K17" s="13">
        <f>Data!M342/Data!$C342</f>
        <v>8.9730807577268201E-3</v>
      </c>
      <c r="L17" s="13">
        <f>Data!N342/Data!$C342</f>
        <v>9.9700897308075773E-3</v>
      </c>
      <c r="M17" s="13">
        <f>Data!O342/Data!$C342</f>
        <v>1.1964107676969093E-2</v>
      </c>
      <c r="N17" s="13">
        <f>Data!P342/Data!$C342</f>
        <v>7.9760717846460619E-2</v>
      </c>
      <c r="O17" s="13">
        <f>Data!Q342/Data!$C342</f>
        <v>4.9850448654037885E-2</v>
      </c>
      <c r="P17" s="13">
        <f>Data!R342/Data!$C342</f>
        <v>2.7916251246261216E-2</v>
      </c>
      <c r="Q17" s="13">
        <f>Data!S342/Data!$C342</f>
        <v>6.9790628115653036E-2</v>
      </c>
      <c r="R17" s="13">
        <f>Data!T342/Data!$C342</f>
        <v>6.9790628115653036E-2</v>
      </c>
      <c r="S17" s="13">
        <f>Data!U342/Data!$C342</f>
        <v>8.9730807577268201E-2</v>
      </c>
    </row>
    <row r="18" spans="1:19" x14ac:dyDescent="0.25">
      <c r="A18" s="10" t="s">
        <v>19</v>
      </c>
      <c r="B18" s="13">
        <f>Data!D343/Data!$C343</f>
        <v>1.5659955257270694E-2</v>
      </c>
      <c r="C18" s="13">
        <f>Data!E343/Data!$C343</f>
        <v>1.0067114093959731E-2</v>
      </c>
      <c r="D18" s="13">
        <f>Data!F343/Data!$C343</f>
        <v>0.11185682326621924</v>
      </c>
      <c r="E18" s="13">
        <f>Data!G343/Data!$C343</f>
        <v>3.3557046979865772E-2</v>
      </c>
      <c r="F18" s="13">
        <f>Data!H343/Data!$C343</f>
        <v>1.3422818791946308E-2</v>
      </c>
      <c r="G18" s="13">
        <f>Data!I343/Data!$C343</f>
        <v>1.7897091722595078E-2</v>
      </c>
      <c r="H18" s="13">
        <f>Data!J343/Data!$C343</f>
        <v>0.11185682326621924</v>
      </c>
      <c r="I18" s="13">
        <f>Data!K343/Data!$C343</f>
        <v>2.0134228187919462E-2</v>
      </c>
      <c r="J18" s="13">
        <f>Data!L343/Data!$C343</f>
        <v>0.20134228187919462</v>
      </c>
      <c r="K18" s="13">
        <f>Data!M343/Data!$C343</f>
        <v>8.948545861297539E-3</v>
      </c>
      <c r="L18" s="13">
        <f>Data!N343/Data!$C343</f>
        <v>7.829977628635347E-3</v>
      </c>
      <c r="M18" s="13">
        <f>Data!O343/Data!$C343</f>
        <v>2.2371364653243849E-2</v>
      </c>
      <c r="N18" s="13">
        <f>Data!P343/Data!$C343</f>
        <v>2.7964205816554809E-2</v>
      </c>
      <c r="O18" s="13">
        <f>Data!Q343/Data!$C343</f>
        <v>6.7114093959731544E-2</v>
      </c>
      <c r="P18" s="13">
        <f>Data!R343/Data!$C343</f>
        <v>4.4742729306487698E-2</v>
      </c>
      <c r="Q18" s="13">
        <f>Data!S343/Data!$C343</f>
        <v>6.7114093959731544E-2</v>
      </c>
      <c r="R18" s="13">
        <f>Data!T343/Data!$C343</f>
        <v>0.17897091722595079</v>
      </c>
      <c r="S18" s="13">
        <f>Data!U343/Data!$C343</f>
        <v>3.9149888143176735E-2</v>
      </c>
    </row>
    <row r="19" spans="1:19" x14ac:dyDescent="0.25">
      <c r="A19" s="10" t="s">
        <v>20</v>
      </c>
      <c r="B19" s="13">
        <f>Data!D344/Data!$C344</f>
        <v>2.21147201105736E-2</v>
      </c>
      <c r="C19" s="13">
        <f>Data!E344/Data!$C344</f>
        <v>4.1465100207325502E-2</v>
      </c>
      <c r="D19" s="13">
        <f>Data!F344/Data!$C344</f>
        <v>0.22114720110573602</v>
      </c>
      <c r="E19" s="13">
        <f>Data!G344/Data!$C344</f>
        <v>5.5286800276434005E-2</v>
      </c>
      <c r="F19" s="13">
        <f>Data!H344/Data!$C344</f>
        <v>1.9350380096751902E-2</v>
      </c>
      <c r="G19" s="13">
        <f>Data!I344/Data!$C344</f>
        <v>2.7643400138217002E-2</v>
      </c>
      <c r="H19" s="13">
        <f>Data!J344/Data!$C344</f>
        <v>6.9108500345542501E-2</v>
      </c>
      <c r="I19" s="13">
        <f>Data!K344/Data!$C344</f>
        <v>9.6751900483759506E-2</v>
      </c>
      <c r="J19" s="13">
        <f>Data!L344/Data!$C344</f>
        <v>5.5286800276434005E-2</v>
      </c>
      <c r="K19" s="13">
        <f>Data!M344/Data!$C344</f>
        <v>1.2439530062197651E-2</v>
      </c>
      <c r="L19" s="13">
        <f>Data!N344/Data!$C344</f>
        <v>6.2197650310988253E-3</v>
      </c>
      <c r="M19" s="13">
        <f>Data!O344/Data!$C344</f>
        <v>8.2930200414651004E-3</v>
      </c>
      <c r="N19" s="13">
        <f>Data!P344/Data!$C344</f>
        <v>8.2930200414651004E-2</v>
      </c>
      <c r="O19" s="13">
        <f>Data!Q344/Data!$C344</f>
        <v>8.2930200414651004E-2</v>
      </c>
      <c r="P19" s="13">
        <f>Data!R344/Data!$C344</f>
        <v>2.4879060124395301E-2</v>
      </c>
      <c r="Q19" s="13">
        <f>Data!S344/Data!$C344</f>
        <v>6.9108500345542501E-2</v>
      </c>
      <c r="R19" s="13">
        <f>Data!T344/Data!$C344</f>
        <v>8.2930200414651004E-2</v>
      </c>
      <c r="S19" s="13">
        <f>Data!U344/Data!$C344</f>
        <v>2.21147201105736E-2</v>
      </c>
    </row>
    <row r="20" spans="1:19" x14ac:dyDescent="0.25">
      <c r="A20" s="10" t="s">
        <v>21</v>
      </c>
      <c r="B20" s="13">
        <f>Data!D345/Data!$C345</f>
        <v>9.4073377234242712E-4</v>
      </c>
      <c r="C20" s="13">
        <f>Data!E345/Data!$C345</f>
        <v>7.525870178739417E-3</v>
      </c>
      <c r="D20" s="13">
        <f>Data!F345/Data!$C345</f>
        <v>7.5258701787394161E-2</v>
      </c>
      <c r="E20" s="13">
        <f>Data!G345/Data!$C345</f>
        <v>3.3866415804327372E-2</v>
      </c>
      <c r="F20" s="13">
        <f>Data!H345/Data!$C345</f>
        <v>1.6933207902163686E-2</v>
      </c>
      <c r="G20" s="13">
        <f>Data!I345/Data!$C345</f>
        <v>3.7629350893697081E-2</v>
      </c>
      <c r="H20" s="13">
        <f>Data!J345/Data!$C345</f>
        <v>9.0310442144873007E-2</v>
      </c>
      <c r="I20" s="13">
        <f>Data!K345/Data!$C345</f>
        <v>3.7629350893697081E-2</v>
      </c>
      <c r="J20" s="13">
        <f>Data!L345/Data!$C345</f>
        <v>6.7732831608654745E-2</v>
      </c>
      <c r="K20" s="13">
        <f>Data!M345/Data!$C345</f>
        <v>4.1392285983066796E-2</v>
      </c>
      <c r="L20" s="13">
        <f>Data!N345/Data!$C345</f>
        <v>3.3866415804327372E-2</v>
      </c>
      <c r="M20" s="13">
        <f>Data!O345/Data!$C345</f>
        <v>1.1288805268109126E-2</v>
      </c>
      <c r="N20" s="13">
        <f>Data!P345/Data!$C345</f>
        <v>7.5258701787394161E-2</v>
      </c>
      <c r="O20" s="13">
        <f>Data!Q345/Data!$C345</f>
        <v>7.9021636876763876E-2</v>
      </c>
      <c r="P20" s="13">
        <f>Data!R345/Data!$C345</f>
        <v>6.3969896519285044E-2</v>
      </c>
      <c r="Q20" s="13">
        <f>Data!S345/Data!$C345</f>
        <v>0.12417685794920037</v>
      </c>
      <c r="R20" s="13">
        <f>Data!T345/Data!$C345</f>
        <v>0.16556914393226718</v>
      </c>
      <c r="S20" s="13">
        <f>Data!U345/Data!$C345</f>
        <v>3.7629350893697081E-2</v>
      </c>
    </row>
    <row r="21" spans="1:19" x14ac:dyDescent="0.25">
      <c r="A21" s="10" t="s">
        <v>22</v>
      </c>
      <c r="B21" s="13">
        <f>Data!D346/Data!$C346</f>
        <v>1.8598884066955983E-3</v>
      </c>
      <c r="C21" s="13">
        <f>Data!E346/Data!$C346</f>
        <v>1.3949163050216987E-2</v>
      </c>
      <c r="D21" s="13">
        <f>Data!F346/Data!$C346</f>
        <v>0.12399256044637322</v>
      </c>
      <c r="E21" s="13">
        <f>Data!G346/Data!$C346</f>
        <v>4.959702417854929E-2</v>
      </c>
      <c r="F21" s="13">
        <f>Data!H346/Data!$C346</f>
        <v>2.4798512089274645E-2</v>
      </c>
      <c r="G21" s="13">
        <f>Data!I346/Data!$C346</f>
        <v>6.8195908245505268E-2</v>
      </c>
      <c r="H21" s="13">
        <f>Data!J346/Data!$C346</f>
        <v>7.4395536267823928E-2</v>
      </c>
      <c r="I21" s="13">
        <f>Data!K346/Data!$C346</f>
        <v>0.1115933044017359</v>
      </c>
      <c r="J21" s="13">
        <f>Data!L346/Data!$C346</f>
        <v>5.5796652200867949E-2</v>
      </c>
      <c r="K21" s="13">
        <f>Data!M346/Data!$C346</f>
        <v>1.3949163050216987E-2</v>
      </c>
      <c r="L21" s="13">
        <f>Data!N346/Data!$C346</f>
        <v>1.2399256044637322E-2</v>
      </c>
      <c r="M21" s="13">
        <f>Data!O346/Data!$C346</f>
        <v>1.5499070055796652E-2</v>
      </c>
      <c r="N21" s="13">
        <f>Data!P346/Data!$C346</f>
        <v>4.3397396156230623E-2</v>
      </c>
      <c r="O21" s="13">
        <f>Data!Q346/Data!$C346</f>
        <v>8.6794792312461247E-2</v>
      </c>
      <c r="P21" s="13">
        <f>Data!R346/Data!$C346</f>
        <v>6.1996280223186609E-2</v>
      </c>
      <c r="Q21" s="13">
        <f>Data!S346/Data!$C346</f>
        <v>6.8195908245505268E-2</v>
      </c>
      <c r="R21" s="13">
        <f>Data!T346/Data!$C346</f>
        <v>0.14879107253564786</v>
      </c>
      <c r="S21" s="13">
        <f>Data!U346/Data!$C346</f>
        <v>2.4798512089274645E-2</v>
      </c>
    </row>
    <row r="22" spans="1:19" x14ac:dyDescent="0.25">
      <c r="A22" s="10" t="s">
        <v>23</v>
      </c>
      <c r="B22" s="13">
        <f>Data!D347/Data!$C347</f>
        <v>2.0515158422612263E-3</v>
      </c>
      <c r="C22" s="13">
        <f>Data!E347/Data!$C347</f>
        <v>4.1030316845224526E-3</v>
      </c>
      <c r="D22" s="13">
        <f>Data!F347/Data!$C347</f>
        <v>3.6471392751310693E-2</v>
      </c>
      <c r="E22" s="13">
        <f>Data!G347/Data!$C347</f>
        <v>3.1912468657396852E-2</v>
      </c>
      <c r="F22" s="13">
        <f>Data!H347/Data!$C347</f>
        <v>1.3676772281741509E-2</v>
      </c>
      <c r="G22" s="13">
        <f>Data!I347/Data!$C347</f>
        <v>1.8235696375655346E-2</v>
      </c>
      <c r="H22" s="13">
        <f>Data!J347/Data!$C347</f>
        <v>0.10941417825393207</v>
      </c>
      <c r="I22" s="13">
        <f>Data!K347/Data!$C347</f>
        <v>4.1030316845224526E-2</v>
      </c>
      <c r="J22" s="13">
        <f>Data!L347/Data!$C347</f>
        <v>0.10941417825393207</v>
      </c>
      <c r="K22" s="13">
        <f>Data!M347/Data!$C347</f>
        <v>3.1912468657396852E-2</v>
      </c>
      <c r="L22" s="13">
        <f>Data!N347/Data!$C347</f>
        <v>3.6471392751310693E-2</v>
      </c>
      <c r="M22" s="13">
        <f>Data!O347/Data!$C347</f>
        <v>1.3676772281741509E-2</v>
      </c>
      <c r="N22" s="13">
        <f>Data!P347/Data!$C347</f>
        <v>8.2060633690449053E-2</v>
      </c>
      <c r="O22" s="13">
        <f>Data!Q347/Data!$C347</f>
        <v>7.2942785502621385E-2</v>
      </c>
      <c r="P22" s="13">
        <f>Data!R347/Data!$C347</f>
        <v>7.2942785502621385E-2</v>
      </c>
      <c r="Q22" s="13">
        <f>Data!S347/Data!$C347</f>
        <v>0.11853202644175974</v>
      </c>
      <c r="R22" s="13">
        <f>Data!T347/Data!$C347</f>
        <v>0.16412126738089811</v>
      </c>
      <c r="S22" s="13">
        <f>Data!U347/Data!$C347</f>
        <v>4.1030316845224526E-2</v>
      </c>
    </row>
  </sheetData>
  <conditionalFormatting sqref="B2:S2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4850F-8B3E-40FE-91C8-BDD6915E24A8}">
  <dimension ref="A1:T23"/>
  <sheetViews>
    <sheetView tabSelected="1" workbookViewId="0">
      <selection sqref="A1:G9"/>
    </sheetView>
  </sheetViews>
  <sheetFormatPr defaultRowHeight="15" x14ac:dyDescent="0.25"/>
  <cols>
    <col min="2" max="2" width="17.5703125" bestFit="1" customWidth="1"/>
  </cols>
  <sheetData>
    <row r="1" spans="1:20" x14ac:dyDescent="0.25">
      <c r="A1" s="14" t="s">
        <v>46</v>
      </c>
      <c r="B1" s="14"/>
      <c r="C1" s="14"/>
      <c r="D1" s="14"/>
      <c r="E1" s="14"/>
      <c r="F1" s="14"/>
      <c r="G1" s="14"/>
    </row>
    <row r="2" spans="1:20" ht="89.25" x14ac:dyDescent="0.25">
      <c r="A2" s="8" t="s">
        <v>2</v>
      </c>
      <c r="B2" s="2" t="s">
        <v>0</v>
      </c>
      <c r="C2" s="1" t="s">
        <v>33</v>
      </c>
      <c r="D2" s="1" t="s">
        <v>32</v>
      </c>
      <c r="E2" s="1" t="s">
        <v>28</v>
      </c>
      <c r="F2" s="1" t="s">
        <v>29</v>
      </c>
      <c r="G2" s="1" t="s">
        <v>40</v>
      </c>
      <c r="H2" s="1" t="s">
        <v>30</v>
      </c>
      <c r="I2" s="1" t="s">
        <v>31</v>
      </c>
      <c r="J2" s="1" t="s">
        <v>39</v>
      </c>
      <c r="K2" s="1" t="s">
        <v>34</v>
      </c>
      <c r="L2" s="1" t="s">
        <v>35</v>
      </c>
      <c r="M2" s="1" t="s">
        <v>38</v>
      </c>
      <c r="N2" s="1" t="s">
        <v>37</v>
      </c>
      <c r="O2" s="1" t="s">
        <v>36</v>
      </c>
      <c r="P2" s="1" t="s">
        <v>41</v>
      </c>
      <c r="Q2" s="1" t="s">
        <v>42</v>
      </c>
      <c r="R2" s="1" t="s">
        <v>43</v>
      </c>
      <c r="S2" s="1" t="s">
        <v>44</v>
      </c>
      <c r="T2" s="1" t="s">
        <v>45</v>
      </c>
    </row>
    <row r="3" spans="1:20" x14ac:dyDescent="0.25">
      <c r="A3" s="9">
        <v>2009</v>
      </c>
      <c r="B3" s="10" t="s">
        <v>3</v>
      </c>
      <c r="C3" s="3">
        <v>225</v>
      </c>
      <c r="D3" s="3">
        <v>400</v>
      </c>
      <c r="E3" s="3">
        <v>11000</v>
      </c>
      <c r="F3" s="3">
        <v>4000</v>
      </c>
      <c r="G3" s="3">
        <v>1250</v>
      </c>
      <c r="H3" s="3">
        <v>2500</v>
      </c>
      <c r="I3" s="3">
        <v>7000</v>
      </c>
      <c r="J3" s="3">
        <v>2500</v>
      </c>
      <c r="K3" s="3">
        <v>4500</v>
      </c>
      <c r="L3" s="3">
        <v>1250</v>
      </c>
      <c r="M3" s="3">
        <v>1750</v>
      </c>
      <c r="N3" s="3">
        <v>1250</v>
      </c>
      <c r="O3" s="3">
        <v>3000</v>
      </c>
      <c r="P3" s="3">
        <v>3000</v>
      </c>
      <c r="Q3" s="3">
        <v>5000</v>
      </c>
      <c r="R3" s="3">
        <v>8000</v>
      </c>
      <c r="S3" s="3">
        <v>13000</v>
      </c>
      <c r="T3" s="3">
        <v>2500</v>
      </c>
    </row>
    <row r="4" spans="1:20" x14ac:dyDescent="0.25">
      <c r="A4" s="9">
        <v>2009</v>
      </c>
      <c r="B4" s="10" t="s">
        <v>5</v>
      </c>
      <c r="C4" s="3">
        <v>300</v>
      </c>
      <c r="D4" s="3">
        <v>2250</v>
      </c>
      <c r="E4" s="3">
        <v>26000</v>
      </c>
      <c r="F4" s="3">
        <v>6000</v>
      </c>
      <c r="G4" s="3">
        <v>3000</v>
      </c>
      <c r="H4" s="3">
        <v>10000</v>
      </c>
      <c r="I4" s="3">
        <v>24000</v>
      </c>
      <c r="J4" s="3">
        <v>6000</v>
      </c>
      <c r="K4" s="3">
        <v>10000</v>
      </c>
      <c r="L4" s="3">
        <v>6000</v>
      </c>
      <c r="M4" s="3">
        <v>7000</v>
      </c>
      <c r="N4" s="3">
        <v>3000</v>
      </c>
      <c r="O4" s="3">
        <v>8000</v>
      </c>
      <c r="P4" s="3">
        <v>12000</v>
      </c>
      <c r="Q4" s="3">
        <v>12000</v>
      </c>
      <c r="R4" s="3">
        <v>23000</v>
      </c>
      <c r="S4" s="3">
        <v>29000</v>
      </c>
      <c r="T4" s="3">
        <v>7000</v>
      </c>
    </row>
    <row r="5" spans="1:20" x14ac:dyDescent="0.25">
      <c r="A5" s="9">
        <v>2009</v>
      </c>
      <c r="B5" s="10" t="s">
        <v>4</v>
      </c>
      <c r="C5" s="3">
        <v>175</v>
      </c>
      <c r="D5" s="3">
        <v>450</v>
      </c>
      <c r="E5" s="3">
        <v>14000</v>
      </c>
      <c r="F5" s="3">
        <v>3500</v>
      </c>
      <c r="G5" s="3">
        <v>1250</v>
      </c>
      <c r="H5" s="3">
        <v>5000</v>
      </c>
      <c r="I5" s="3">
        <v>7000</v>
      </c>
      <c r="J5" s="3">
        <v>3000</v>
      </c>
      <c r="K5" s="3">
        <v>5000</v>
      </c>
      <c r="L5" s="3">
        <v>2500</v>
      </c>
      <c r="M5" s="3">
        <v>8000</v>
      </c>
      <c r="N5" s="3">
        <v>1500</v>
      </c>
      <c r="O5" s="3">
        <v>3000</v>
      </c>
      <c r="P5" s="3">
        <v>5000</v>
      </c>
      <c r="Q5" s="3">
        <v>4000</v>
      </c>
      <c r="R5" s="3">
        <v>8000</v>
      </c>
      <c r="S5" s="3">
        <v>9000</v>
      </c>
      <c r="T5" s="3">
        <v>2500</v>
      </c>
    </row>
    <row r="6" spans="1:20" x14ac:dyDescent="0.25">
      <c r="A6" s="9">
        <v>2009</v>
      </c>
      <c r="B6" s="10" t="s">
        <v>6</v>
      </c>
      <c r="C6" s="3">
        <v>600</v>
      </c>
      <c r="D6" s="3">
        <v>200</v>
      </c>
      <c r="E6" s="3">
        <v>2250</v>
      </c>
      <c r="F6" s="3">
        <v>1500</v>
      </c>
      <c r="G6" s="3">
        <v>450</v>
      </c>
      <c r="H6" s="3">
        <v>1500</v>
      </c>
      <c r="I6" s="3">
        <v>3000</v>
      </c>
      <c r="J6" s="3">
        <v>700</v>
      </c>
      <c r="K6" s="3">
        <v>3000</v>
      </c>
      <c r="L6" s="3">
        <v>350</v>
      </c>
      <c r="M6" s="3">
        <v>3500</v>
      </c>
      <c r="N6" s="3">
        <v>500</v>
      </c>
      <c r="O6" s="3">
        <v>2000</v>
      </c>
      <c r="P6" s="3">
        <v>3000</v>
      </c>
      <c r="Q6" s="3">
        <v>300</v>
      </c>
      <c r="R6" s="3">
        <v>3000</v>
      </c>
      <c r="S6" s="3">
        <v>2500</v>
      </c>
      <c r="T6" s="3">
        <v>800</v>
      </c>
    </row>
    <row r="7" spans="1:20" x14ac:dyDescent="0.25">
      <c r="A7" s="9">
        <v>2009</v>
      </c>
      <c r="B7" s="10" t="s">
        <v>7</v>
      </c>
      <c r="C7" s="3">
        <v>350</v>
      </c>
      <c r="D7" s="3">
        <v>1500</v>
      </c>
      <c r="E7" s="3">
        <v>10000</v>
      </c>
      <c r="F7" s="3">
        <v>7000</v>
      </c>
      <c r="G7" s="3">
        <v>2500</v>
      </c>
      <c r="H7" s="3">
        <v>4500</v>
      </c>
      <c r="I7" s="3">
        <v>14000</v>
      </c>
      <c r="J7" s="3">
        <v>9000</v>
      </c>
      <c r="K7" s="3">
        <v>7000</v>
      </c>
      <c r="L7" s="3">
        <v>1500</v>
      </c>
      <c r="M7" s="3">
        <v>2000</v>
      </c>
      <c r="N7" s="3">
        <v>1000</v>
      </c>
      <c r="O7" s="3">
        <v>3500</v>
      </c>
      <c r="P7" s="3">
        <v>8000</v>
      </c>
      <c r="Q7" s="3">
        <v>6000</v>
      </c>
      <c r="R7" s="3">
        <v>11000</v>
      </c>
      <c r="S7" s="3">
        <v>19000</v>
      </c>
      <c r="T7" s="3">
        <v>4500</v>
      </c>
    </row>
    <row r="8" spans="1:20" x14ac:dyDescent="0.25">
      <c r="A8" s="9">
        <v>2009</v>
      </c>
      <c r="B8" s="10" t="s">
        <v>26</v>
      </c>
      <c r="C8" s="3">
        <v>3000</v>
      </c>
      <c r="D8" s="3">
        <v>900</v>
      </c>
      <c r="E8" s="3">
        <v>14000</v>
      </c>
      <c r="F8" s="3">
        <v>5000</v>
      </c>
      <c r="G8" s="3">
        <v>2250</v>
      </c>
      <c r="H8" s="3">
        <v>5000</v>
      </c>
      <c r="I8" s="3">
        <v>12000</v>
      </c>
      <c r="J8" s="3">
        <v>5000</v>
      </c>
      <c r="K8" s="3">
        <v>9000</v>
      </c>
      <c r="L8" s="3">
        <v>2500</v>
      </c>
      <c r="M8" s="3">
        <v>2000</v>
      </c>
      <c r="N8" s="3">
        <v>1500</v>
      </c>
      <c r="O8" s="3">
        <v>5000</v>
      </c>
      <c r="P8" s="3">
        <v>5000</v>
      </c>
      <c r="Q8" s="3">
        <v>13000</v>
      </c>
      <c r="R8" s="3">
        <v>13000</v>
      </c>
      <c r="S8" s="3">
        <v>16000</v>
      </c>
      <c r="T8" s="3">
        <v>5000</v>
      </c>
    </row>
    <row r="9" spans="1:20" x14ac:dyDescent="0.25">
      <c r="A9" s="9">
        <v>2009</v>
      </c>
      <c r="B9" s="10" t="s">
        <v>8</v>
      </c>
      <c r="C9" s="3">
        <v>1250</v>
      </c>
      <c r="D9" s="3">
        <v>350</v>
      </c>
      <c r="E9" s="3">
        <v>4000</v>
      </c>
      <c r="F9" s="3">
        <v>1750</v>
      </c>
      <c r="G9" s="3">
        <v>700</v>
      </c>
      <c r="H9" s="3">
        <v>2500</v>
      </c>
      <c r="I9" s="3">
        <v>4000</v>
      </c>
      <c r="J9" s="3">
        <v>1250</v>
      </c>
      <c r="K9" s="3">
        <v>3000</v>
      </c>
      <c r="L9" s="3">
        <v>600</v>
      </c>
      <c r="M9" s="3">
        <v>400</v>
      </c>
      <c r="N9" s="3">
        <v>600</v>
      </c>
      <c r="O9" s="3">
        <v>2250</v>
      </c>
      <c r="P9" s="3">
        <v>1500</v>
      </c>
      <c r="Q9" s="3">
        <v>4500</v>
      </c>
      <c r="R9" s="3">
        <v>2500</v>
      </c>
      <c r="S9" s="3">
        <v>5000</v>
      </c>
      <c r="T9" s="3">
        <v>1750</v>
      </c>
    </row>
    <row r="10" spans="1:20" x14ac:dyDescent="0.25">
      <c r="A10" s="9">
        <v>2009</v>
      </c>
      <c r="B10" s="10" t="s">
        <v>9</v>
      </c>
      <c r="C10" s="3">
        <v>1250</v>
      </c>
      <c r="D10" s="3">
        <v>350</v>
      </c>
      <c r="E10" s="3">
        <v>4000</v>
      </c>
      <c r="F10" s="3">
        <v>2500</v>
      </c>
      <c r="G10" s="3">
        <v>1500</v>
      </c>
      <c r="H10" s="3">
        <v>4500</v>
      </c>
      <c r="I10" s="3">
        <v>8000</v>
      </c>
      <c r="J10" s="3">
        <v>2250</v>
      </c>
      <c r="K10" s="3">
        <v>7000</v>
      </c>
      <c r="L10" s="3">
        <v>7000</v>
      </c>
      <c r="M10" s="3">
        <v>3000</v>
      </c>
      <c r="N10" s="3">
        <v>1000</v>
      </c>
      <c r="O10" s="3">
        <v>5000</v>
      </c>
      <c r="P10" s="3">
        <v>3000</v>
      </c>
      <c r="Q10" s="3">
        <v>2250</v>
      </c>
      <c r="R10" s="3">
        <v>7000</v>
      </c>
      <c r="S10" s="3">
        <v>10000</v>
      </c>
      <c r="T10" s="3">
        <v>3500</v>
      </c>
    </row>
    <row r="11" spans="1:20" x14ac:dyDescent="0.25">
      <c r="A11" s="9">
        <v>2009</v>
      </c>
      <c r="B11" s="10" t="s">
        <v>10</v>
      </c>
      <c r="C11" s="3">
        <v>5</v>
      </c>
      <c r="D11" s="3">
        <v>1250</v>
      </c>
      <c r="E11" s="3">
        <v>17000</v>
      </c>
      <c r="F11" s="3">
        <v>5000</v>
      </c>
      <c r="G11" s="3">
        <v>2000</v>
      </c>
      <c r="H11" s="3">
        <v>6000</v>
      </c>
      <c r="I11" s="3">
        <v>14000</v>
      </c>
      <c r="J11" s="3">
        <v>5000</v>
      </c>
      <c r="K11" s="3">
        <v>6000</v>
      </c>
      <c r="L11" s="3">
        <v>2250</v>
      </c>
      <c r="M11" s="3">
        <v>1500</v>
      </c>
      <c r="N11" s="3">
        <v>1250</v>
      </c>
      <c r="O11" s="3">
        <v>4000</v>
      </c>
      <c r="P11" s="3">
        <v>11000</v>
      </c>
      <c r="Q11" s="3">
        <v>8000</v>
      </c>
      <c r="R11" s="3">
        <v>11000</v>
      </c>
      <c r="S11" s="3">
        <v>17000</v>
      </c>
      <c r="T11" s="3">
        <v>4000</v>
      </c>
    </row>
    <row r="12" spans="1:20" x14ac:dyDescent="0.25">
      <c r="A12" s="9">
        <v>2009</v>
      </c>
      <c r="B12" s="10" t="s">
        <v>13</v>
      </c>
      <c r="C12" s="3">
        <v>400</v>
      </c>
      <c r="D12" s="3">
        <v>1250</v>
      </c>
      <c r="E12" s="3">
        <v>26000</v>
      </c>
      <c r="F12" s="3">
        <v>6000</v>
      </c>
      <c r="G12" s="3">
        <v>3000</v>
      </c>
      <c r="H12" s="3">
        <v>8000</v>
      </c>
      <c r="I12" s="3">
        <v>17000</v>
      </c>
      <c r="J12" s="3">
        <v>6000</v>
      </c>
      <c r="K12" s="3">
        <v>8000</v>
      </c>
      <c r="L12" s="3">
        <v>5000</v>
      </c>
      <c r="M12" s="3">
        <v>2250</v>
      </c>
      <c r="N12" s="3">
        <v>2000</v>
      </c>
      <c r="O12" s="3">
        <v>6000</v>
      </c>
      <c r="P12" s="3">
        <v>10000</v>
      </c>
      <c r="Q12" s="3">
        <v>8000</v>
      </c>
      <c r="R12" s="3">
        <v>18000</v>
      </c>
      <c r="S12" s="3">
        <v>19000</v>
      </c>
      <c r="T12" s="3">
        <v>5000</v>
      </c>
    </row>
    <row r="13" spans="1:20" x14ac:dyDescent="0.25">
      <c r="A13" s="9">
        <v>2009</v>
      </c>
      <c r="B13" s="10" t="s">
        <v>14</v>
      </c>
      <c r="C13" s="3">
        <v>600</v>
      </c>
      <c r="D13" s="3">
        <v>6000</v>
      </c>
      <c r="E13" s="3">
        <v>30000</v>
      </c>
      <c r="F13" s="3">
        <v>17000</v>
      </c>
      <c r="G13" s="3">
        <v>5000</v>
      </c>
      <c r="H13" s="3">
        <v>18000</v>
      </c>
      <c r="I13" s="3">
        <v>38000</v>
      </c>
      <c r="J13" s="3">
        <v>14000</v>
      </c>
      <c r="K13" s="3">
        <v>23000</v>
      </c>
      <c r="L13" s="3">
        <v>15000</v>
      </c>
      <c r="M13" s="3">
        <v>26000</v>
      </c>
      <c r="N13" s="3">
        <v>7000</v>
      </c>
      <c r="O13" s="3">
        <v>31000</v>
      </c>
      <c r="P13" s="3">
        <v>41000</v>
      </c>
      <c r="Q13" s="3">
        <v>23000</v>
      </c>
      <c r="R13" s="3">
        <v>37000</v>
      </c>
      <c r="S13" s="3">
        <v>48000</v>
      </c>
      <c r="T13" s="3">
        <v>17000</v>
      </c>
    </row>
    <row r="14" spans="1:20" x14ac:dyDescent="0.25">
      <c r="A14" s="9">
        <v>2009</v>
      </c>
      <c r="B14" s="10" t="s">
        <v>15</v>
      </c>
      <c r="C14" s="3">
        <v>175</v>
      </c>
      <c r="D14" s="3">
        <v>500</v>
      </c>
      <c r="E14" s="3">
        <v>9000</v>
      </c>
      <c r="F14" s="3">
        <v>3000</v>
      </c>
      <c r="G14" s="3">
        <v>1750</v>
      </c>
      <c r="H14" s="3">
        <v>2500</v>
      </c>
      <c r="I14" s="3">
        <v>8000</v>
      </c>
      <c r="J14" s="3">
        <v>5000</v>
      </c>
      <c r="K14" s="3">
        <v>4000</v>
      </c>
      <c r="L14" s="3">
        <v>800</v>
      </c>
      <c r="M14" s="3">
        <v>1000</v>
      </c>
      <c r="N14" s="3">
        <v>1000</v>
      </c>
      <c r="O14" s="3">
        <v>2500</v>
      </c>
      <c r="P14" s="3">
        <v>4500</v>
      </c>
      <c r="Q14" s="3">
        <v>3000</v>
      </c>
      <c r="R14" s="3">
        <v>7000</v>
      </c>
      <c r="S14" s="3">
        <v>12000</v>
      </c>
      <c r="T14" s="3">
        <v>3000</v>
      </c>
    </row>
    <row r="15" spans="1:20" x14ac:dyDescent="0.25">
      <c r="A15" s="9">
        <v>2009</v>
      </c>
      <c r="B15" s="10" t="s">
        <v>16</v>
      </c>
      <c r="C15" s="3">
        <v>700</v>
      </c>
      <c r="D15" s="3">
        <v>1500</v>
      </c>
      <c r="E15" s="3">
        <v>14000</v>
      </c>
      <c r="F15" s="3">
        <v>5000</v>
      </c>
      <c r="G15" s="3">
        <v>1500</v>
      </c>
      <c r="H15" s="3">
        <v>3000</v>
      </c>
      <c r="I15" s="3">
        <v>7000</v>
      </c>
      <c r="J15" s="3">
        <v>5000</v>
      </c>
      <c r="K15" s="3">
        <v>4000</v>
      </c>
      <c r="L15" s="3">
        <v>450</v>
      </c>
      <c r="M15" s="3">
        <v>800</v>
      </c>
      <c r="N15" s="3">
        <v>800</v>
      </c>
      <c r="O15" s="3">
        <v>2500</v>
      </c>
      <c r="P15" s="3">
        <v>3500</v>
      </c>
      <c r="Q15" s="3">
        <v>3000</v>
      </c>
      <c r="R15" s="3">
        <v>6000</v>
      </c>
      <c r="S15" s="3">
        <v>9000</v>
      </c>
      <c r="T15" s="3">
        <v>2000</v>
      </c>
    </row>
    <row r="16" spans="1:20" x14ac:dyDescent="0.25">
      <c r="A16" s="9">
        <v>2009</v>
      </c>
      <c r="B16" s="10" t="s">
        <v>24</v>
      </c>
      <c r="C16" s="3">
        <v>700</v>
      </c>
      <c r="D16" s="3">
        <v>225</v>
      </c>
      <c r="E16" s="3">
        <v>1000</v>
      </c>
      <c r="F16" s="3">
        <v>800</v>
      </c>
      <c r="G16" s="3">
        <v>350</v>
      </c>
      <c r="H16" s="3">
        <v>800</v>
      </c>
      <c r="I16" s="3">
        <v>1500</v>
      </c>
      <c r="J16" s="3">
        <v>500</v>
      </c>
      <c r="K16" s="3">
        <v>2000</v>
      </c>
      <c r="L16" s="3">
        <v>200</v>
      </c>
      <c r="M16" s="3">
        <v>125</v>
      </c>
      <c r="N16" s="3">
        <v>300</v>
      </c>
      <c r="O16" s="3">
        <v>600</v>
      </c>
      <c r="P16" s="3">
        <v>1250</v>
      </c>
      <c r="Q16" s="3">
        <v>1000</v>
      </c>
      <c r="R16" s="3">
        <v>1250</v>
      </c>
      <c r="S16" s="3">
        <v>1750</v>
      </c>
      <c r="T16" s="3">
        <v>1000</v>
      </c>
    </row>
    <row r="17" spans="1:20" x14ac:dyDescent="0.25">
      <c r="A17" s="9">
        <v>2009</v>
      </c>
      <c r="B17" s="10" t="s">
        <v>17</v>
      </c>
      <c r="C17" s="3">
        <v>175</v>
      </c>
      <c r="D17" s="3">
        <v>1750</v>
      </c>
      <c r="E17" s="3">
        <v>13000</v>
      </c>
      <c r="F17" s="3">
        <v>6000</v>
      </c>
      <c r="G17" s="3">
        <v>1500</v>
      </c>
      <c r="H17" s="3">
        <v>3500</v>
      </c>
      <c r="I17" s="3">
        <v>10000</v>
      </c>
      <c r="J17" s="3">
        <v>5000</v>
      </c>
      <c r="K17" s="3">
        <v>5000</v>
      </c>
      <c r="L17" s="3">
        <v>1750</v>
      </c>
      <c r="M17" s="3">
        <v>1750</v>
      </c>
      <c r="N17" s="3">
        <v>1250</v>
      </c>
      <c r="O17" s="3">
        <v>3000</v>
      </c>
      <c r="P17" s="3">
        <v>9000</v>
      </c>
      <c r="Q17" s="3">
        <v>6000</v>
      </c>
      <c r="R17" s="3">
        <v>10000</v>
      </c>
      <c r="S17" s="3">
        <v>13000</v>
      </c>
      <c r="T17" s="3">
        <v>3000</v>
      </c>
    </row>
    <row r="18" spans="1:20" x14ac:dyDescent="0.25">
      <c r="A18" s="9">
        <v>2009</v>
      </c>
      <c r="B18" s="10" t="s">
        <v>18</v>
      </c>
      <c r="C18" s="3">
        <v>1000</v>
      </c>
      <c r="D18" s="3">
        <v>100</v>
      </c>
      <c r="E18" s="3">
        <v>3500</v>
      </c>
      <c r="F18" s="3">
        <v>1250</v>
      </c>
      <c r="G18" s="3">
        <v>700</v>
      </c>
      <c r="H18" s="3">
        <v>1250</v>
      </c>
      <c r="I18" s="3">
        <v>2000</v>
      </c>
      <c r="J18" s="3">
        <v>700</v>
      </c>
      <c r="K18" s="3">
        <v>2250</v>
      </c>
      <c r="L18" s="3">
        <v>175</v>
      </c>
      <c r="M18" s="3">
        <v>150</v>
      </c>
      <c r="N18" s="3">
        <v>450</v>
      </c>
      <c r="O18" s="3">
        <v>1750</v>
      </c>
      <c r="P18" s="3">
        <v>800</v>
      </c>
      <c r="Q18" s="3">
        <v>600</v>
      </c>
      <c r="R18" s="3">
        <v>2000</v>
      </c>
      <c r="S18" s="3">
        <v>2000</v>
      </c>
      <c r="T18" s="3">
        <v>1750</v>
      </c>
    </row>
    <row r="19" spans="1:20" x14ac:dyDescent="0.25">
      <c r="A19" s="9">
        <v>2009</v>
      </c>
      <c r="B19" s="10" t="s">
        <v>19</v>
      </c>
      <c r="C19" s="3">
        <v>500</v>
      </c>
      <c r="D19" s="3">
        <v>125</v>
      </c>
      <c r="E19" s="3">
        <v>4500</v>
      </c>
      <c r="F19" s="3">
        <v>1250</v>
      </c>
      <c r="G19" s="3">
        <v>600</v>
      </c>
      <c r="H19" s="3">
        <v>1000</v>
      </c>
      <c r="I19" s="3">
        <v>6000</v>
      </c>
      <c r="J19" s="3">
        <v>1250</v>
      </c>
      <c r="K19" s="3">
        <v>7000</v>
      </c>
      <c r="L19" s="3">
        <v>400</v>
      </c>
      <c r="M19" s="3">
        <v>500</v>
      </c>
      <c r="N19" s="3">
        <v>700</v>
      </c>
      <c r="O19" s="3">
        <v>1000</v>
      </c>
      <c r="P19" s="3">
        <v>1500</v>
      </c>
      <c r="Q19" s="3">
        <v>1750</v>
      </c>
      <c r="R19" s="3">
        <v>4000</v>
      </c>
      <c r="S19" s="3">
        <v>8000</v>
      </c>
      <c r="T19" s="3">
        <v>1750</v>
      </c>
    </row>
    <row r="20" spans="1:20" x14ac:dyDescent="0.25">
      <c r="A20" s="9">
        <v>2009</v>
      </c>
      <c r="B20" s="10" t="s">
        <v>20</v>
      </c>
      <c r="C20" s="3">
        <v>800</v>
      </c>
      <c r="D20" s="3">
        <v>2000</v>
      </c>
      <c r="E20" s="3">
        <v>6000</v>
      </c>
      <c r="F20" s="3">
        <v>2250</v>
      </c>
      <c r="G20" s="3">
        <v>450</v>
      </c>
      <c r="H20" s="3">
        <v>1500</v>
      </c>
      <c r="I20" s="3">
        <v>2250</v>
      </c>
      <c r="J20" s="3">
        <v>1250</v>
      </c>
      <c r="K20" s="3">
        <v>2250</v>
      </c>
      <c r="L20" s="3">
        <v>300</v>
      </c>
      <c r="M20" s="3">
        <v>225</v>
      </c>
      <c r="N20" s="3">
        <v>300</v>
      </c>
      <c r="O20" s="3">
        <v>1750</v>
      </c>
      <c r="P20" s="3">
        <v>2000</v>
      </c>
      <c r="Q20" s="3">
        <v>700</v>
      </c>
      <c r="R20" s="3">
        <v>2500</v>
      </c>
      <c r="S20" s="3">
        <v>2500</v>
      </c>
      <c r="T20" s="3">
        <v>800</v>
      </c>
    </row>
    <row r="21" spans="1:20" x14ac:dyDescent="0.25">
      <c r="A21" s="9">
        <v>2009</v>
      </c>
      <c r="B21" s="10" t="s">
        <v>21</v>
      </c>
      <c r="C21" s="3">
        <v>250</v>
      </c>
      <c r="D21" s="3">
        <v>1250</v>
      </c>
      <c r="E21" s="3">
        <v>24000</v>
      </c>
      <c r="F21" s="3">
        <v>10000</v>
      </c>
      <c r="G21" s="3">
        <v>4000</v>
      </c>
      <c r="H21" s="3">
        <v>11000</v>
      </c>
      <c r="I21" s="3">
        <v>26000</v>
      </c>
      <c r="J21" s="3">
        <v>10000</v>
      </c>
      <c r="K21" s="3">
        <v>15000</v>
      </c>
      <c r="L21" s="3">
        <v>8000</v>
      </c>
      <c r="M21" s="3">
        <v>11000</v>
      </c>
      <c r="N21" s="3">
        <v>4500</v>
      </c>
      <c r="O21" s="3">
        <v>14000</v>
      </c>
      <c r="P21" s="3">
        <v>18000</v>
      </c>
      <c r="Q21" s="3">
        <v>14000</v>
      </c>
      <c r="R21" s="3">
        <v>28000</v>
      </c>
      <c r="S21" s="3">
        <v>39000</v>
      </c>
      <c r="T21" s="3">
        <v>10000</v>
      </c>
    </row>
    <row r="22" spans="1:20" x14ac:dyDescent="0.25">
      <c r="A22" s="9">
        <v>2009</v>
      </c>
      <c r="B22" s="10" t="s">
        <v>22</v>
      </c>
      <c r="C22" s="3">
        <v>200</v>
      </c>
      <c r="D22" s="3">
        <v>1500</v>
      </c>
      <c r="E22" s="3">
        <v>15000</v>
      </c>
      <c r="F22" s="3">
        <v>7000</v>
      </c>
      <c r="G22" s="3">
        <v>3000</v>
      </c>
      <c r="H22" s="3">
        <v>8000</v>
      </c>
      <c r="I22" s="3">
        <v>18000</v>
      </c>
      <c r="J22" s="3">
        <v>10000</v>
      </c>
      <c r="K22" s="3">
        <v>8000</v>
      </c>
      <c r="L22" s="3">
        <v>2500</v>
      </c>
      <c r="M22" s="3">
        <v>2500</v>
      </c>
      <c r="N22" s="3">
        <v>1750</v>
      </c>
      <c r="O22" s="3">
        <v>5000</v>
      </c>
      <c r="P22" s="3">
        <v>10000</v>
      </c>
      <c r="Q22" s="3">
        <v>10000</v>
      </c>
      <c r="R22" s="3">
        <v>12000</v>
      </c>
      <c r="S22" s="3">
        <v>20000</v>
      </c>
      <c r="T22" s="3">
        <v>4500</v>
      </c>
    </row>
    <row r="23" spans="1:20" x14ac:dyDescent="0.25">
      <c r="A23" s="9">
        <v>2009</v>
      </c>
      <c r="B23" s="10" t="s">
        <v>23</v>
      </c>
      <c r="C23" s="3">
        <v>225</v>
      </c>
      <c r="D23" s="3">
        <v>350</v>
      </c>
      <c r="E23" s="3">
        <v>4500</v>
      </c>
      <c r="F23" s="3">
        <v>4000</v>
      </c>
      <c r="G23" s="3">
        <v>1250</v>
      </c>
      <c r="H23" s="3">
        <v>2500</v>
      </c>
      <c r="I23" s="3">
        <v>13000</v>
      </c>
      <c r="J23" s="3">
        <v>10000</v>
      </c>
      <c r="K23" s="3">
        <v>9000</v>
      </c>
      <c r="L23" s="3">
        <v>3000</v>
      </c>
      <c r="M23" s="3">
        <v>6000</v>
      </c>
      <c r="N23" s="3">
        <v>1250</v>
      </c>
      <c r="O23" s="3">
        <v>6000</v>
      </c>
      <c r="P23" s="3">
        <v>7000</v>
      </c>
      <c r="Q23" s="3">
        <v>6000</v>
      </c>
      <c r="R23" s="3">
        <v>11000</v>
      </c>
      <c r="S23" s="3">
        <v>15000</v>
      </c>
      <c r="T23" s="3">
        <v>4500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Leon Richardson</cp:lastModifiedBy>
  <dcterms:created xsi:type="dcterms:W3CDTF">2025-11-19T11:17:41Z</dcterms:created>
  <dcterms:modified xsi:type="dcterms:W3CDTF">2026-01-20T16:49:27Z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1.2.3</vt:lpwstr>
  </property>
</Properties>
</file>